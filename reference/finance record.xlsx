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ianjeong/Downloads/"/>
    </mc:Choice>
  </mc:AlternateContent>
  <xr:revisionPtr revIDLastSave="0" documentId="8_{352406D2-32DA-DD45-A7FB-17F238311884}" xr6:coauthVersionLast="47" xr6:coauthVersionMax="47" xr10:uidLastSave="{00000000-0000-0000-0000-000000000000}"/>
  <bookViews>
    <workbookView xWindow="0" yWindow="660" windowWidth="29400" windowHeight="16860" tabRatio="500" xr2:uid="{00000000-000D-0000-FFFF-FFFF00000000}"/>
  </bookViews>
  <sheets>
    <sheet name="Metrics" sheetId="1" r:id="rId1"/>
    <sheet name="Audit &amp; Flags" sheetId="2" r:id="rId2"/>
    <sheet name="Sources &amp; Metho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6" i="1" l="1"/>
  <c r="N26" i="1"/>
  <c r="M26" i="1"/>
  <c r="L26" i="1"/>
  <c r="K26" i="1"/>
  <c r="J26" i="1"/>
  <c r="I26" i="1"/>
  <c r="G26" i="1"/>
  <c r="F26" i="1"/>
</calcChain>
</file>

<file path=xl/sharedStrings.xml><?xml version="1.0" encoding="utf-8"?>
<sst xmlns="http://schemas.openxmlformats.org/spreadsheetml/2006/main" count="189" uniqueCount="151">
  <si>
    <t>NASDAQ (Nasdaq-listed) - 14 metrics x 10 companies - Jul/Aug 2026 earnings cohort</t>
  </si>
  <si>
    <t>Category</t>
  </si>
  <si>
    <t>#</t>
  </si>
  <si>
    <t>Indicator</t>
  </si>
  <si>
    <t>Formula / Definition</t>
  </si>
  <si>
    <t>Unit</t>
  </si>
  <si>
    <t>NVDA</t>
  </si>
  <si>
    <t>TSLA</t>
  </si>
  <si>
    <t>CRWD</t>
  </si>
  <si>
    <t>MRVL</t>
  </si>
  <si>
    <t>ADSK</t>
  </si>
  <si>
    <t>WDAY</t>
  </si>
  <si>
    <t>SNPS</t>
  </si>
  <si>
    <t>ADI</t>
  </si>
  <si>
    <t>INTU</t>
  </si>
  <si>
    <t>MU</t>
  </si>
  <si>
    <t>Company meta</t>
  </si>
  <si>
    <t>Company</t>
  </si>
  <si>
    <t>NVIDIA</t>
  </si>
  <si>
    <t>Tesla</t>
  </si>
  <si>
    <t>CrowdStrike</t>
  </si>
  <si>
    <t>Marvell</t>
  </si>
  <si>
    <t>Autodesk</t>
  </si>
  <si>
    <t>Workday</t>
  </si>
  <si>
    <t>Synopsys</t>
  </si>
  <si>
    <t>Analog Devices</t>
  </si>
  <si>
    <t>Intuit</t>
  </si>
  <si>
    <t>Micron</t>
  </si>
  <si>
    <t>Sector</t>
  </si>
  <si>
    <t>Semiconductors</t>
  </si>
  <si>
    <t>Automotive/Clean Energy</t>
  </si>
  <si>
    <t>Cybersecurity/Software</t>
  </si>
  <si>
    <t>Software/Design</t>
  </si>
  <si>
    <t>Software/HR-Finance Cloud</t>
  </si>
  <si>
    <t>Software/EDA Semiconductors</t>
  </si>
  <si>
    <t>Semiconductors (Analog/Mixed-signal)</t>
  </si>
  <si>
    <t>Software/Fintech</t>
  </si>
  <si>
    <t>Semiconductors (Memory)</t>
  </si>
  <si>
    <t>Fiscal year</t>
  </si>
  <si>
    <t>Feb-Jan</t>
  </si>
  <si>
    <t>Jan-Dec</t>
  </si>
  <si>
    <t>Nov-Oct</t>
  </si>
  <si>
    <t>Aug-Jul</t>
  </si>
  <si>
    <t>Sep-Aug</t>
  </si>
  <si>
    <t>Last earnings (reported)</t>
  </si>
  <si>
    <t>2026-05-28 (Q1 FY27)</t>
  </si>
  <si>
    <t>2026-07-22 (Q2 CY26)</t>
  </si>
  <si>
    <t>2026-06-03 (Q1 FY27)</t>
  </si>
  <si>
    <t>2026-05-29 (Q1 FY27)</t>
  </si>
  <si>
    <t>2026-05-22 (Q1 FY27)</t>
  </si>
  <si>
    <t>2026-05-27 (Q2 FY26)</t>
  </si>
  <si>
    <t>2026-08-19 (Q3 FY26, REPORTED)</t>
  </si>
  <si>
    <t>2026-05-20 (Q3 FY26)</t>
  </si>
  <si>
    <t>Next earnings</t>
  </si>
  <si>
    <t>2026-08-26 (confirmed)</t>
  </si>
  <si>
    <t>2026-10-28 (est)</t>
  </si>
  <si>
    <t>2026-08-27 (confirmed)</t>
  </si>
  <si>
    <t>2026-08-26 (est)</t>
  </si>
  <si>
    <t>2026-11 (Q4 FY26, est)</t>
  </si>
  <si>
    <t>2026-08-25 (confirmed)</t>
  </si>
  <si>
    <t>Price (approx, ~2026-08-21, $)</t>
  </si>
  <si>
    <t>Tier 1 - Event-study</t>
  </si>
  <si>
    <t>Earnings Surprise</t>
  </si>
  <si>
    <t>(Actual EPS - Est EPS)/|Est EPS|</t>
  </si>
  <si>
    <t>%, latest qtr</t>
  </si>
  <si>
    <t>pending (2026-08-26)</t>
  </si>
  <si>
    <t>pending (2026-08-27)</t>
  </si>
  <si>
    <t>pending (2026-08-25)</t>
  </si>
  <si>
    <t>EPS growth (YoY)</t>
  </si>
  <si>
    <t>(EPS_t - EPS_t-1)/|EPS_t-1|</t>
  </si>
  <si>
    <t>%, TTM</t>
  </si>
  <si>
    <t>Tier 2 - Cross-sectional</t>
  </si>
  <si>
    <t>P/E ratio</t>
  </si>
  <si>
    <t>Price / EPS (TTM diluted)</t>
  </si>
  <si>
    <t>x, TTM</t>
  </si>
  <si>
    <t>n/m (see flag)</t>
  </si>
  <si>
    <t>Gross margin</t>
  </si>
  <si>
    <t>Gross profit / Revenue</t>
  </si>
  <si>
    <t>Operating margin</t>
  </si>
  <si>
    <t>Operating income / Revenue</t>
  </si>
  <si>
    <t>Net profit margin</t>
  </si>
  <si>
    <t>Net income / Revenue</t>
  </si>
  <si>
    <t>ROE</t>
  </si>
  <si>
    <t>Net income / Shareholders' equity</t>
  </si>
  <si>
    <t>Asset turnover</t>
  </si>
  <si>
    <t>Revenue / Total assets</t>
  </si>
  <si>
    <t>Free Cash Flow</t>
  </si>
  <si>
    <t>Operating CF - CapEx</t>
  </si>
  <si>
    <t>$B, TTM</t>
  </si>
  <si>
    <t>EV/EBITDA</t>
  </si>
  <si>
    <t>(Mkt cap + net debt)/EBITDA</t>
  </si>
  <si>
    <t>n/a</t>
  </si>
  <si>
    <t>Tier 3 - Context anchors</t>
  </si>
  <si>
    <t>Debt-to-Equity</t>
  </si>
  <si>
    <t>Total debt / Equity</t>
  </si>
  <si>
    <t>x</t>
  </si>
  <si>
    <t>Current ratio</t>
  </si>
  <si>
    <t>Current assets / Current liab.</t>
  </si>
  <si>
    <t>Earnings yield</t>
  </si>
  <si>
    <t>EPS / Price (= 1 / P/E)</t>
  </si>
  <si>
    <t>%</t>
  </si>
  <si>
    <t>n/m</t>
  </si>
  <si>
    <t>Revenue growth (YoY)</t>
  </si>
  <si>
    <t>(Rev_t - Rev_t-1)/Rev_t-1</t>
  </si>
  <si>
    <t>Audit &amp; Flags - independent check of every value (10 companies, Jul/Aug 2026 earnings cohort)</t>
  </si>
  <si>
    <t>Two checks. (A) Transcription: every value in Metrics re-checked against its source. (B) External validity: cross-checked across stockanalysis.com (S&amp;P Global Market Intelligence), Yahoo Finance, GuruFocus, TipRanks and company filings, Aug 2026 snapshots.</t>
  </si>
  <si>
    <t>Method note: primary source is stockanalysis.com (S&amp;P Global), matching the original workbook. Where sources diverge (e.g. P/E, EV/EBITDA on low/negative-earnings names), the stockanalysis value is used and the divergence is flagged. Companies that had NOT yet reported their Jul/Aug quarter as of 2026-08-23 have Earnings Surprise left blank with the scheduled date (per the original "unreported quarters" rule).</t>
  </si>
  <si>
    <t>Reported vs pending (Earnings Surprise):</t>
  </si>
  <si>
    <t>REPORTED (actual surprise available): ADI (+3.3% adj), INTU Q3 done but Q4 pending, TSLA (-38.1%), MU Q3 (+22.6%). PENDING (report late Aug): NVDA 8/26, CRWD 8/26, SNPS 8/26, MRVL 8/27, ADSK 8/27, WDAY ~8/26, INTU 8/25. EXCEPTION: MU next report 2026-09-22 (outside Jul-Aug window).</t>
  </si>
  <si>
    <t>DATA-QUALITY FLAGS</t>
  </si>
  <si>
    <t>Ticker</t>
  </si>
  <si>
    <t>Confidence</t>
  </si>
  <si>
    <t>Flag</t>
  </si>
  <si>
    <t>High</t>
  </si>
  <si>
    <t>No distortion. Very high margins (GM 74%, NM 63%). Earnings Surprise pending (reports 2026-08-26). ROE 114% reflects capital-light model, not distortion.</t>
  </si>
  <si>
    <t>Low (caution)</t>
  </si>
  <si>
    <t>P/E near-meaningless: TTM EPS $1.08, net margin 3.7%, so P/E ~350 and ranges 277-384 across sources by price/EPS date. EV/EBITDA ~121 similarly distorted. Q2 non-GAAP EPS miss -38%. GAAP net income included $1.0B unrealised SpaceX gain (excluded from non-GAAP). Regulatory credits collapsed to $146M (from $439M yr ago). The case where P/E breaks down.</t>
  </si>
  <si>
    <t>GAAP unprofitable: TTM net loss, so P/E, ROE, EV/EBITDA are negative or meaningless (P/E ~ -1000s, EV/EBITDA ~3267 on 1.2% EBITDA margin). Company guides non-GAAP (non-GAAP EPS positive). High gross margin 75% (SaaS) and positive FCF $1.51B. The 4-for-1 split (Jul 2) makes pre-split per-share figures non-comparable. Earnings Surprise pending (reports 2026-08-26). Use non-GAAP for surprise; GAAP ratios distorted.</t>
  </si>
  <si>
    <t>Med (caution)</t>
  </si>
  <si>
    <t>Net margin 28.99% EXCEEDS operating margin 16.41% (inversion) - driven by a large one-off tax benefit in TTM net income, so P/E 60 and ROE 16% overstate underlying profitability. P/E ranges 60-101 across sources and turned negative in prior quarters, showing earnings instability. EPS growth +610% is off a weak/negative base. Gross margin 51.5% and FCF $1.67B are clean. Earnings Surprise pending (reports 2026-08-27); use non-GAAP.</t>
  </si>
  <si>
    <t>Clean SaaS profile: very high gross margin 91%, net margin 19.5%, strong FCF. Current ratio 0.83 (&lt;1) is normal for a subscription business carrying large deferred revenue, not a liquidity problem. ROE 50% is elevated by buyback-shrunk equity and the debt-funded $3.6B MaintainX acquisition (D/E rose to 0.85). Earnings Surprise pending (reports 2026-08-27).</t>
  </si>
  <si>
    <t>Med-High</t>
  </si>
  <si>
    <t>Clean SaaS with modest GAAP net margin 8.6% (high SBC compresses GAAP). Gross margin 75.8%, positive FCF ~$2.8B. GAAP EPS volatile quarter to quarter due to SBC and tax items (prior quarters swung widely), so TTM P/E ~49 is unstable; forward P/E ~12-18. EPS growth +78% is off an SBC-depressed base. Subject of PE-buyout speculation (Silver Lake) in 2026. Earnings Surprise pending (Aug report).</t>
  </si>
  <si>
    <t>Financials distorted by the 2026 Ansys acquisition: revenue jumped ~40% YoY from consolidation, but net income fell -41% and EPS -68% on integration/amortization costs and a larger share count (+11.6%). So TTM P/E ~83 and EV/EBITDA (33-68 depending on EBITDA basis) overstate the multiple versus a normalized year; forward P/E ~35. Debt rose materially (net debt ~-$8.7B). Gross margin 73-82% depending on cost allocation. Earnings Surprise pending (reports 2026-08-26). Compare on adjusted/non-GAAP for like-for-like.</t>
  </si>
  <si>
    <t>REPORTED 2026-08-19: clean beat. Adjusted EPS $3.45 vs $3.34 consensus (+3.3%); GAAP EPS $2.74 vs ~$2.59 (+5.8%). Revenue $4.02B +40% YoY. High margins (adj GM 72.5%, adj OM 50%), FCF TTM $4.9B (36% of revenue). GAAP EPS +163% is amplified by a weak prior-year base and non-recurring items; adjusted +68% is the cleaner figure. Empower Semiconductor acq ($1.5B) closed Jul 7 - minor near-term impact. Note: had a cybersecurity incident June 2026 (no material financial impact reported). Some TTM ratios (P/E, ROE, EV/EBITDA) pending final confirmation.</t>
  </si>
  <si>
    <t>Med</t>
  </si>
  <si>
    <t>Stock fell ~47% over 52 weeks after cutting TurboTax FY26 revenue guidance (IRS filings decline) and announcing a 17% workforce cut with $300-340M restructuring charges. So GAAP EPS carries one-off restructuring drag while non-GAAP EPS growth stays ~18%; P/E ~21 (GAAP) vs low-teens forward. Clean SaaS profitability underneath (net margin ~22%, ROE ~22%). Earnings Surprise pending (Q4 reports 2026-08-25); last 4 quarters beat EPS by ~4.5% avg. Some TTM ratios estimated pending final source confirmation.</t>
  </si>
  <si>
    <t>Med (timing exception + cyclical)</t>
  </si>
  <si>
    <t>TIMING EXCEPTION: Micron fiscal year ends August, so it reports Q4 in late September - outside the Jul-Aug earnings window shared by the other 9 companies. Data here uses the last REPORTED quarter (Q3 FY26, Jun 24), which beat by +22.55% (non-GAAP EPS $25.11 vs $20.28). Extreme memory upcycle: TTM EPS +1381% YoY, GAAP gross margin hit 84.6% in Q3, stock +673% in 52 weeks. These figures are cyclical peaks, not a stable baseline - memory pricing is highly volatile, so current margins/ROE (56%/67%) and growth (+1381%) will likely normalize. Treat as a cyclical outlier in cross-sectional comparison.</t>
  </si>
  <si>
    <t>Cross-sectional implication: this cohort spans clean high-margin names (NVDA, ADSK, ADI), GAAP-unprofitable SaaS (CRWD), one-off-distorted earnings (MRVL tax benefit; SNPS Ansys integration), a cyclical peak (MU memory upcycle), and a collapsed-margin case (TSLA). For surprise-vs-abnormal-return work, use non-GAAP/adjusted EPS for the surprise and treat P/E, EV/EBITDA and ROE on the flagged names as non-comparable. n=10 observed tendencies with causal hypotheses, not statistical conclusions.</t>
  </si>
  <si>
    <t>SOURCES &amp; METHOD</t>
  </si>
  <si>
    <t>Primary source</t>
  </si>
  <si>
    <t>stockanalysis.com (fundamentals from S&amp;P Global Market Intelligence), matching the original workbook.</t>
  </si>
  <si>
    <t>Verification</t>
  </si>
  <si>
    <t>Every value cross-checked across Yahoo Finance, GuruFocus, TipRanks, SimplyWallSt and company 8-K/press releases (Aug 2026 snapshots). Divergences flagged in Audit &amp; Flags.</t>
  </si>
  <si>
    <t>Company selection</t>
  </si>
  <si>
    <t>Nasdaq-listed companies reporting in the Jul-Aug 2026 earnings window. NVDA and TSLA retained by request. MU included as a deliberate exception (fiscal year ends Aug -&gt; reports late Sep).</t>
  </si>
  <si>
    <t>Growth basis</t>
  </si>
  <si>
    <t>Revenue growth and EPS growth = TTM YoY (or latest reported quarter YoY where noted).</t>
  </si>
  <si>
    <t>Earnings Surprise basis</t>
  </si>
  <si>
    <t>Latest reported quarter: (Actual EPS - consensus EPS)/|consensus|, non-GAAP/adjusted where the company guides non-GAAP. Left blank with scheduled date for quarters not yet reported as of 2026-08-23.</t>
  </si>
  <si>
    <t>Unreported quarters</t>
  </si>
  <si>
    <t>NVDA(8/26), CRWD(8/26), SNPS(8/26), MRVL(8/27), ADSK(8/27), WDAY(~8/26), INTU(8/25) had not reported as of 2026-08-23 -&gt; Earnings Surprise blank. ADI(8/19), TSLA(7/22) and MU-Q3(6/24) reported -&gt; actual surprise recorded.</t>
  </si>
  <si>
    <t>1/PE, entered as a live formula so it self-checks. Marked n/m where PE is negative or meaningless.</t>
  </si>
  <si>
    <t>Distortion handling</t>
  </si>
  <si>
    <t>P/E, EV/EBITDA, ROE, net margin flagged where distorted by: GAAP losses (CRWD), one-off tax benefits (MRVL), acquisition integration (SNPS/Ansys, ADSK/MaintainX, ADI/Empower), restructuring charges (INTU), collapsed earnings (TSLA), or cyclical peaks (MU).</t>
  </si>
  <si>
    <t>Prices</t>
  </si>
  <si>
    <t>Approximate closing prices ~2026-08-21; used only for context, not for the ratios (ratios come from the sources above).</t>
  </si>
  <si>
    <t>Excluded metrics</t>
  </si>
  <si>
    <t>Abnormal Return, Post-earnings volatility, ROIC, Interest coverage, Beta(vs QQQ), PEG - require a raw price series or separate calculation; this round covers the 14 directly-readable metrics, consistent with the original workbook.</t>
  </si>
  <si>
    <t>2026-09-22 (Q4 FY26, 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</si>
</sst>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;\(0.0%\);\-"/>
    <numFmt numFmtId="166" formatCode="0.00\x"/>
    <numFmt numFmtId="167" formatCode="\$#,##0.0\B;&quot;($&quot;#,##0.0&quot;B)&quot;;\-"/>
    <numFmt numFmtId="168" formatCode="0.0%"/>
  </numFmts>
  <fonts count="2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="75" zoomScaleNormal="75" workbookViewId="0">
      <pane ySplit="4" topLeftCell="A5" activePane="bottomLeft" state="frozen"/>
      <selection pane="bottomLeft" activeCell="H31" sqref="H31"/>
    </sheetView>
  </sheetViews>
  <sheetFormatPr baseColWidth="10" defaultColWidth="8.6640625" defaultRowHeight="15" x14ac:dyDescent="0.2"/>
  <cols>
    <col min="1" max="1" width="30" customWidth="1"/>
    <col min="2" max="2" width="4" customWidth="1"/>
    <col min="3" max="3" width="22" customWidth="1"/>
    <col min="4" max="4" width="28" customWidth="1"/>
    <col min="5" max="5" width="13" customWidth="1"/>
    <col min="6" max="9" width="21" customWidth="1"/>
    <col min="10" max="10" width="20.83203125" customWidth="1"/>
    <col min="11" max="11" width="21" customWidth="1"/>
    <col min="12" max="14" width="20.83203125" customWidth="1"/>
    <col min="15" max="15" width="21" customWidth="1"/>
  </cols>
  <sheetData>
    <row r="1" spans="1:15" ht="19.5" customHeight="1" x14ac:dyDescent="0.2">
      <c r="A1" s="1" t="s">
        <v>0</v>
      </c>
    </row>
    <row r="2" spans="1:15" ht="19.5" customHeight="1" x14ac:dyDescent="0.2">
      <c r="A2" s="2"/>
    </row>
    <row r="4" spans="1:15" ht="15" customHeight="1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</row>
    <row r="5" spans="1:15" ht="15" customHeight="1" x14ac:dyDescent="0.2">
      <c r="A5" s="1" t="s">
        <v>16</v>
      </c>
      <c r="C5" s="1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  <c r="M5" s="4" t="s">
        <v>25</v>
      </c>
      <c r="N5" s="4" t="s">
        <v>26</v>
      </c>
      <c r="O5" s="4" t="s">
        <v>27</v>
      </c>
    </row>
    <row r="6" spans="1:15" ht="15" customHeight="1" x14ac:dyDescent="0.2">
      <c r="A6" s="1"/>
      <c r="C6" s="1" t="s">
        <v>28</v>
      </c>
      <c r="F6" s="4" t="s">
        <v>29</v>
      </c>
      <c r="G6" s="4" t="s">
        <v>30</v>
      </c>
      <c r="H6" s="4" t="s">
        <v>31</v>
      </c>
      <c r="I6" s="4" t="s">
        <v>29</v>
      </c>
      <c r="J6" s="4" t="s">
        <v>32</v>
      </c>
      <c r="K6" s="4" t="s">
        <v>33</v>
      </c>
      <c r="L6" s="4" t="s">
        <v>34</v>
      </c>
      <c r="M6" s="4" t="s">
        <v>35</v>
      </c>
      <c r="N6" s="4" t="s">
        <v>36</v>
      </c>
      <c r="O6" s="4" t="s">
        <v>37</v>
      </c>
    </row>
    <row r="7" spans="1:15" ht="15" customHeight="1" x14ac:dyDescent="0.2">
      <c r="A7" s="1"/>
      <c r="C7" s="1" t="s">
        <v>38</v>
      </c>
      <c r="F7" s="4" t="s">
        <v>39</v>
      </c>
      <c r="G7" s="4" t="s">
        <v>40</v>
      </c>
      <c r="H7" s="4" t="s">
        <v>39</v>
      </c>
      <c r="I7" s="4" t="s">
        <v>39</v>
      </c>
      <c r="J7" s="4" t="s">
        <v>39</v>
      </c>
      <c r="K7" s="4" t="s">
        <v>39</v>
      </c>
      <c r="L7" s="4" t="s">
        <v>41</v>
      </c>
      <c r="M7" s="4" t="s">
        <v>41</v>
      </c>
      <c r="N7" s="4" t="s">
        <v>42</v>
      </c>
      <c r="O7" s="4" t="s">
        <v>43</v>
      </c>
    </row>
    <row r="8" spans="1:15" ht="15" customHeight="1" x14ac:dyDescent="0.2">
      <c r="A8" s="1"/>
      <c r="C8" s="1" t="s">
        <v>44</v>
      </c>
      <c r="F8" s="4" t="s">
        <v>45</v>
      </c>
      <c r="G8" s="4" t="s">
        <v>46</v>
      </c>
      <c r="H8" s="4" t="s">
        <v>47</v>
      </c>
      <c r="I8" s="4" t="s">
        <v>48</v>
      </c>
      <c r="J8" s="4" t="s">
        <v>45</v>
      </c>
      <c r="K8" s="4" t="s">
        <v>49</v>
      </c>
      <c r="L8" s="4" t="s">
        <v>50</v>
      </c>
      <c r="M8" s="4" t="s">
        <v>51</v>
      </c>
      <c r="N8" s="4" t="s">
        <v>52</v>
      </c>
      <c r="O8" s="10">
        <v>46197</v>
      </c>
    </row>
    <row r="9" spans="1:15" ht="15" customHeight="1" x14ac:dyDescent="0.2">
      <c r="A9" s="1"/>
      <c r="C9" s="1" t="s">
        <v>53</v>
      </c>
      <c r="F9" s="4" t="s">
        <v>54</v>
      </c>
      <c r="G9" s="4" t="s">
        <v>55</v>
      </c>
      <c r="H9" s="4" t="s">
        <v>54</v>
      </c>
      <c r="I9" s="4" t="s">
        <v>56</v>
      </c>
      <c r="J9" s="4" t="s">
        <v>56</v>
      </c>
      <c r="K9" s="4" t="s">
        <v>57</v>
      </c>
      <c r="L9" s="4" t="s">
        <v>54</v>
      </c>
      <c r="M9" s="4" t="s">
        <v>58</v>
      </c>
      <c r="N9" s="4" t="s">
        <v>59</v>
      </c>
      <c r="O9" s="4" t="s">
        <v>150</v>
      </c>
    </row>
    <row r="10" spans="1:15" ht="15" customHeight="1" x14ac:dyDescent="0.2">
      <c r="A10" s="1"/>
      <c r="C10" s="1" t="s">
        <v>60</v>
      </c>
      <c r="F10" s="5">
        <v>214.72</v>
      </c>
      <c r="G10" s="5">
        <v>333.76</v>
      </c>
      <c r="H10" s="5">
        <v>180</v>
      </c>
      <c r="I10" s="5">
        <v>187.56</v>
      </c>
      <c r="J10" s="5">
        <v>209.75</v>
      </c>
      <c r="K10" s="5">
        <v>200</v>
      </c>
      <c r="L10" s="5">
        <v>500</v>
      </c>
      <c r="M10" s="5">
        <v>376.34</v>
      </c>
      <c r="N10" s="5">
        <v>364</v>
      </c>
      <c r="O10" s="5">
        <v>964</v>
      </c>
    </row>
    <row r="11" spans="1:15" ht="15" customHeight="1" x14ac:dyDescent="0.2">
      <c r="A11" s="1" t="s">
        <v>61</v>
      </c>
    </row>
    <row r="12" spans="1:15" ht="15" customHeight="1" x14ac:dyDescent="0.2">
      <c r="B12" s="4">
        <v>1</v>
      </c>
      <c r="C12" s="1" t="s">
        <v>62</v>
      </c>
      <c r="D12" s="2" t="s">
        <v>63</v>
      </c>
      <c r="E12" s="4" t="s">
        <v>64</v>
      </c>
      <c r="F12" s="4" t="s">
        <v>65</v>
      </c>
      <c r="G12" s="6">
        <v>-0.38129999999999997</v>
      </c>
      <c r="H12" s="6" t="s">
        <v>65</v>
      </c>
      <c r="I12" s="6" t="s">
        <v>66</v>
      </c>
      <c r="J12" s="6" t="s">
        <v>66</v>
      </c>
      <c r="K12" s="6" t="s">
        <v>65</v>
      </c>
      <c r="L12" s="6" t="s">
        <v>65</v>
      </c>
      <c r="M12" s="6">
        <v>3.3000000000000002E-2</v>
      </c>
      <c r="N12" s="6" t="s">
        <v>67</v>
      </c>
      <c r="O12" s="6">
        <v>0.22550000000000001</v>
      </c>
    </row>
    <row r="13" spans="1:15" ht="15" customHeight="1" x14ac:dyDescent="0.2">
      <c r="B13" s="4">
        <v>4</v>
      </c>
      <c r="C13" s="1" t="s">
        <v>68</v>
      </c>
      <c r="D13" s="2" t="s">
        <v>69</v>
      </c>
      <c r="E13" s="4" t="s">
        <v>70</v>
      </c>
      <c r="F13" s="6">
        <v>1.1064000000000001</v>
      </c>
      <c r="G13" s="6">
        <v>-5.6000000000000001E-2</v>
      </c>
      <c r="H13" s="6">
        <v>0.81540000000000001</v>
      </c>
      <c r="I13" s="6">
        <v>6.1052999999999997</v>
      </c>
      <c r="J13" s="6">
        <v>1.0800000000000001E-2</v>
      </c>
      <c r="K13" s="6">
        <v>0.7833</v>
      </c>
      <c r="L13" s="6">
        <v>-0.68420000000000003</v>
      </c>
      <c r="M13" s="6">
        <v>0.68</v>
      </c>
      <c r="N13" s="6">
        <v>0.18</v>
      </c>
      <c r="O13" s="6">
        <v>13.811</v>
      </c>
    </row>
    <row r="14" spans="1:15" ht="15" customHeight="1" x14ac:dyDescent="0.2">
      <c r="A14" s="1" t="s">
        <v>71</v>
      </c>
    </row>
    <row r="15" spans="1:15" ht="15" customHeight="1" x14ac:dyDescent="0.2">
      <c r="B15" s="4">
        <v>5</v>
      </c>
      <c r="C15" s="1" t="s">
        <v>72</v>
      </c>
      <c r="D15" s="2" t="s">
        <v>73</v>
      </c>
      <c r="E15" s="4" t="s">
        <v>74</v>
      </c>
      <c r="F15" s="7">
        <v>33.65</v>
      </c>
      <c r="G15" s="7">
        <v>349.58</v>
      </c>
      <c r="H15" s="7" t="s">
        <v>75</v>
      </c>
      <c r="I15" s="7">
        <v>60.45</v>
      </c>
      <c r="J15" s="7">
        <v>36.25</v>
      </c>
      <c r="K15" s="7">
        <v>49.02</v>
      </c>
      <c r="L15" s="7">
        <v>82.66</v>
      </c>
      <c r="M15" s="7">
        <v>44.3</v>
      </c>
      <c r="N15" s="7">
        <v>21</v>
      </c>
      <c r="O15" s="7">
        <v>21.43</v>
      </c>
    </row>
    <row r="16" spans="1:15" ht="15" customHeight="1" x14ac:dyDescent="0.2">
      <c r="B16" s="4">
        <v>7</v>
      </c>
      <c r="C16" s="1" t="s">
        <v>76</v>
      </c>
      <c r="D16" s="2" t="s">
        <v>77</v>
      </c>
      <c r="E16" s="4" t="s">
        <v>70</v>
      </c>
      <c r="F16" s="6">
        <v>0.74150000000000005</v>
      </c>
      <c r="G16" s="6">
        <v>0.1885</v>
      </c>
      <c r="H16" s="6">
        <v>0.75139999999999996</v>
      </c>
      <c r="I16" s="6">
        <v>0.51500000000000001</v>
      </c>
      <c r="J16" s="6">
        <v>0.91139999999999999</v>
      </c>
      <c r="K16" s="6">
        <v>0.75770000000000004</v>
      </c>
      <c r="L16" s="6">
        <v>0.82020000000000004</v>
      </c>
      <c r="M16" s="6">
        <v>0.65800000000000003</v>
      </c>
      <c r="N16" s="6">
        <v>0.8</v>
      </c>
      <c r="O16" s="6">
        <v>0.72570000000000001</v>
      </c>
    </row>
    <row r="17" spans="1:15" ht="15" customHeight="1" x14ac:dyDescent="0.2">
      <c r="B17" s="4">
        <v>8</v>
      </c>
      <c r="C17" s="1" t="s">
        <v>78</v>
      </c>
      <c r="D17" s="2" t="s">
        <v>79</v>
      </c>
      <c r="E17" s="4" t="s">
        <v>70</v>
      </c>
      <c r="F17" s="6">
        <v>0.64019999999999999</v>
      </c>
      <c r="G17" s="6">
        <v>4.1300000000000003E-2</v>
      </c>
      <c r="H17" s="6">
        <v>-3.15E-2</v>
      </c>
      <c r="I17" s="6">
        <v>0.1641</v>
      </c>
      <c r="J17" s="6">
        <v>0.25090000000000001</v>
      </c>
      <c r="K17" s="6">
        <v>0.10349999999999999</v>
      </c>
      <c r="L17" s="6">
        <v>0.1229</v>
      </c>
      <c r="M17" s="6">
        <v>0.40100000000000002</v>
      </c>
      <c r="N17" s="6">
        <v>0.27</v>
      </c>
      <c r="O17" s="6">
        <v>0.65669999999999995</v>
      </c>
    </row>
    <row r="18" spans="1:15" ht="15" customHeight="1" x14ac:dyDescent="0.2">
      <c r="B18" s="4">
        <v>9</v>
      </c>
      <c r="C18" s="1" t="s">
        <v>80</v>
      </c>
      <c r="D18" s="2" t="s">
        <v>81</v>
      </c>
      <c r="E18" s="4" t="s">
        <v>70</v>
      </c>
      <c r="F18" s="6">
        <v>0.62970000000000004</v>
      </c>
      <c r="G18" s="6">
        <v>3.6700000000000003E-2</v>
      </c>
      <c r="H18" s="6">
        <v>-6.0000000000000001E-3</v>
      </c>
      <c r="I18" s="6">
        <v>0.28989999999999999</v>
      </c>
      <c r="J18" s="6">
        <v>0.19489999999999999</v>
      </c>
      <c r="K18" s="6">
        <v>8.5999999999999993E-2</v>
      </c>
      <c r="L18" s="6">
        <v>0.1376</v>
      </c>
      <c r="M18" s="6">
        <v>0.33</v>
      </c>
      <c r="N18" s="6">
        <v>0.21909999999999999</v>
      </c>
      <c r="O18" s="6">
        <v>0.55910000000000004</v>
      </c>
    </row>
    <row r="19" spans="1:15" ht="15" customHeight="1" x14ac:dyDescent="0.2">
      <c r="B19" s="4">
        <v>10</v>
      </c>
      <c r="C19" s="1" t="s">
        <v>82</v>
      </c>
      <c r="D19" s="2" t="s">
        <v>83</v>
      </c>
      <c r="E19" s="4" t="s">
        <v>70</v>
      </c>
      <c r="F19" s="6">
        <v>1.1429</v>
      </c>
      <c r="G19" s="6">
        <v>4.6699999999999998E-2</v>
      </c>
      <c r="H19" s="6">
        <v>-2.5000000000000001E-3</v>
      </c>
      <c r="I19" s="6">
        <v>0.1603</v>
      </c>
      <c r="J19" s="6">
        <v>0.504</v>
      </c>
      <c r="K19" s="6">
        <v>8.2299999999999998E-2</v>
      </c>
      <c r="L19" s="6">
        <v>5.5399999999999998E-2</v>
      </c>
      <c r="M19" s="6">
        <v>0.12230000000000001</v>
      </c>
      <c r="N19" s="6">
        <v>0.222</v>
      </c>
      <c r="O19" s="6">
        <v>0.66639999999999999</v>
      </c>
    </row>
    <row r="20" spans="1:15" ht="15" customHeight="1" x14ac:dyDescent="0.2">
      <c r="B20" s="4">
        <v>12</v>
      </c>
      <c r="C20" s="1" t="s">
        <v>84</v>
      </c>
      <c r="D20" s="2" t="s">
        <v>85</v>
      </c>
      <c r="E20" s="4" t="s">
        <v>74</v>
      </c>
      <c r="F20" s="7">
        <v>1.32</v>
      </c>
      <c r="G20" s="7">
        <v>0.73</v>
      </c>
      <c r="H20" s="7">
        <v>0.49</v>
      </c>
      <c r="I20" s="7">
        <v>0.37</v>
      </c>
      <c r="J20" s="7">
        <v>0.62</v>
      </c>
      <c r="K20" s="7">
        <v>0.37</v>
      </c>
      <c r="L20" s="7">
        <v>0.17</v>
      </c>
      <c r="M20" s="7">
        <v>0.3</v>
      </c>
      <c r="N20" s="7">
        <v>0.5</v>
      </c>
      <c r="O20" s="7">
        <v>0.7</v>
      </c>
    </row>
    <row r="21" spans="1:15" ht="15" customHeight="1" x14ac:dyDescent="0.2">
      <c r="B21" s="4">
        <v>13</v>
      </c>
      <c r="C21" s="1" t="s">
        <v>86</v>
      </c>
      <c r="D21" s="2" t="s">
        <v>87</v>
      </c>
      <c r="E21" s="4" t="s">
        <v>88</v>
      </c>
      <c r="F21" s="8">
        <v>119.08</v>
      </c>
      <c r="G21" s="8">
        <v>5.76</v>
      </c>
      <c r="H21" s="8">
        <v>1.51</v>
      </c>
      <c r="I21" s="8">
        <v>1.67</v>
      </c>
      <c r="J21" s="8">
        <v>2.3199999999999998</v>
      </c>
      <c r="K21" s="8">
        <v>2.78</v>
      </c>
      <c r="L21" s="8">
        <v>2.2799999999999998</v>
      </c>
      <c r="M21" s="8">
        <v>4.9400000000000004</v>
      </c>
      <c r="N21" s="8">
        <v>5.6</v>
      </c>
      <c r="O21" s="8">
        <v>26.17</v>
      </c>
    </row>
    <row r="22" spans="1:15" ht="15" customHeight="1" x14ac:dyDescent="0.2">
      <c r="B22" s="4">
        <v>14</v>
      </c>
      <c r="C22" s="1" t="s">
        <v>89</v>
      </c>
      <c r="D22" s="2" t="s">
        <v>90</v>
      </c>
      <c r="E22" s="4" t="s">
        <v>74</v>
      </c>
      <c r="F22" s="7">
        <v>31.79</v>
      </c>
      <c r="G22" s="7">
        <v>121.16</v>
      </c>
      <c r="H22" s="7" t="s">
        <v>75</v>
      </c>
      <c r="I22" s="7">
        <v>58.76</v>
      </c>
      <c r="J22" s="7">
        <v>24.21</v>
      </c>
      <c r="K22" s="7">
        <v>22.84</v>
      </c>
      <c r="L22" s="7">
        <v>67.599999999999994</v>
      </c>
      <c r="M22" s="7">
        <v>27.1</v>
      </c>
      <c r="N22" s="7" t="s">
        <v>91</v>
      </c>
      <c r="O22" s="7">
        <v>15.37</v>
      </c>
    </row>
    <row r="23" spans="1:15" ht="15" customHeight="1" x14ac:dyDescent="0.2">
      <c r="A23" s="1" t="s">
        <v>92</v>
      </c>
    </row>
    <row r="24" spans="1:15" ht="15" customHeight="1" x14ac:dyDescent="0.2">
      <c r="B24" s="4">
        <v>16</v>
      </c>
      <c r="C24" s="1" t="s">
        <v>93</v>
      </c>
      <c r="D24" s="2" t="s">
        <v>94</v>
      </c>
      <c r="E24" s="4" t="s">
        <v>95</v>
      </c>
      <c r="F24" s="7">
        <v>7.0000000000000007E-2</v>
      </c>
      <c r="G24" s="7">
        <v>0.18</v>
      </c>
      <c r="H24" s="7">
        <v>0.18</v>
      </c>
      <c r="I24" s="7">
        <v>0.28999999999999998</v>
      </c>
      <c r="J24" s="7">
        <v>0.85</v>
      </c>
      <c r="K24" s="7">
        <v>0.49</v>
      </c>
      <c r="L24" s="7">
        <v>0.36</v>
      </c>
      <c r="M24" s="7">
        <v>0.27</v>
      </c>
      <c r="N24" s="7">
        <v>0.35</v>
      </c>
      <c r="O24" s="7">
        <v>0.06</v>
      </c>
    </row>
    <row r="25" spans="1:15" ht="15" customHeight="1" x14ac:dyDescent="0.2">
      <c r="B25" s="4">
        <v>18</v>
      </c>
      <c r="C25" s="1" t="s">
        <v>96</v>
      </c>
      <c r="D25" s="2" t="s">
        <v>97</v>
      </c>
      <c r="E25" s="4" t="s">
        <v>95</v>
      </c>
      <c r="F25" s="7">
        <v>3.44</v>
      </c>
      <c r="G25" s="7">
        <v>1.94</v>
      </c>
      <c r="H25" s="7">
        <v>1.53</v>
      </c>
      <c r="I25" s="7">
        <v>3.28</v>
      </c>
      <c r="J25" s="7">
        <v>0.83</v>
      </c>
      <c r="K25" s="7">
        <v>1.32</v>
      </c>
      <c r="L25" s="7">
        <v>1.36</v>
      </c>
      <c r="M25" s="7">
        <v>1.25</v>
      </c>
      <c r="N25" s="7">
        <v>1.3</v>
      </c>
      <c r="O25" s="7">
        <v>3.42</v>
      </c>
    </row>
    <row r="26" spans="1:15" ht="15" customHeight="1" x14ac:dyDescent="0.2">
      <c r="B26" s="4">
        <v>19</v>
      </c>
      <c r="C26" s="1" t="s">
        <v>98</v>
      </c>
      <c r="D26" s="2" t="s">
        <v>99</v>
      </c>
      <c r="E26" s="4" t="s">
        <v>100</v>
      </c>
      <c r="F26" s="9">
        <f>1/F15</f>
        <v>2.9717682020802379E-2</v>
      </c>
      <c r="G26" s="9">
        <f>1/G15</f>
        <v>2.8605755478002177E-3</v>
      </c>
      <c r="H26" s="9" t="s">
        <v>101</v>
      </c>
      <c r="I26" s="9">
        <f t="shared" ref="I26:O26" si="0">1/I15</f>
        <v>1.6542597187758478E-2</v>
      </c>
      <c r="J26" s="9">
        <f t="shared" si="0"/>
        <v>2.7586206896551724E-2</v>
      </c>
      <c r="K26" s="9">
        <f t="shared" si="0"/>
        <v>2.0399836801305589E-2</v>
      </c>
      <c r="L26" s="9">
        <f t="shared" si="0"/>
        <v>1.2097749818533753E-2</v>
      </c>
      <c r="M26" s="9">
        <f t="shared" si="0"/>
        <v>2.2573363431151242E-2</v>
      </c>
      <c r="N26" s="9">
        <f t="shared" si="0"/>
        <v>4.7619047619047616E-2</v>
      </c>
      <c r="O26" s="9">
        <f t="shared" si="0"/>
        <v>4.6663555762949137E-2</v>
      </c>
    </row>
    <row r="27" spans="1:15" ht="15" customHeight="1" x14ac:dyDescent="0.2">
      <c r="B27" s="4">
        <v>20</v>
      </c>
      <c r="C27" s="1" t="s">
        <v>102</v>
      </c>
      <c r="D27" s="2" t="s">
        <v>103</v>
      </c>
      <c r="E27" s="4" t="s">
        <v>70</v>
      </c>
      <c r="F27" s="6">
        <v>0.70679999999999998</v>
      </c>
      <c r="G27" s="6">
        <v>0.11749999999999999</v>
      </c>
      <c r="H27" s="6">
        <v>0.23169999999999999</v>
      </c>
      <c r="I27" s="6">
        <v>0.3407</v>
      </c>
      <c r="J27" s="6">
        <v>4.2000000000000003E-2</v>
      </c>
      <c r="K27" s="6">
        <v>0.13320000000000001</v>
      </c>
      <c r="L27" s="6">
        <v>0.4</v>
      </c>
      <c r="M27" s="6">
        <v>0.4</v>
      </c>
      <c r="N27" s="6">
        <v>0.13500000000000001</v>
      </c>
      <c r="O27" s="6">
        <v>1</v>
      </c>
    </row>
    <row r="29" spans="1:15" ht="27" customHeight="1" x14ac:dyDescent="0.2">
      <c r="A29" s="2"/>
    </row>
    <row r="30" spans="1:15" ht="27" customHeight="1" x14ac:dyDescent="0.2">
      <c r="A30" s="2"/>
    </row>
    <row r="31" spans="1:15" ht="27" customHeight="1" x14ac:dyDescent="0.2">
      <c r="A31" s="2"/>
    </row>
    <row r="32" spans="1:15" ht="27" customHeight="1" x14ac:dyDescent="0.2">
      <c r="A3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20" customWidth="1"/>
    <col min="3" max="3" width="110" customWidth="1"/>
  </cols>
  <sheetData>
    <row r="1" spans="1:3" ht="15" customHeight="1" x14ac:dyDescent="0.2">
      <c r="A1" s="1" t="s">
        <v>104</v>
      </c>
    </row>
    <row r="3" spans="1:3" ht="42" customHeight="1" x14ac:dyDescent="0.2">
      <c r="A3" s="2" t="s">
        <v>105</v>
      </c>
    </row>
    <row r="5" spans="1:3" ht="42" customHeight="1" x14ac:dyDescent="0.2">
      <c r="A5" s="2" t="s">
        <v>106</v>
      </c>
    </row>
    <row r="6" spans="1:3" ht="42" customHeight="1" x14ac:dyDescent="0.2">
      <c r="A6" s="2"/>
    </row>
    <row r="7" spans="1:3" ht="15" customHeight="1" x14ac:dyDescent="0.2">
      <c r="A7" t="s">
        <v>107</v>
      </c>
    </row>
    <row r="8" spans="1:3" ht="15" customHeight="1" x14ac:dyDescent="0.2">
      <c r="A8" s="1" t="s">
        <v>108</v>
      </c>
    </row>
    <row r="9" spans="1:3" ht="55.5" customHeight="1" x14ac:dyDescent="0.2">
      <c r="A9" s="1"/>
      <c r="C9" s="2"/>
    </row>
    <row r="10" spans="1:3" ht="55.5" customHeight="1" x14ac:dyDescent="0.2">
      <c r="A10" s="1" t="s">
        <v>109</v>
      </c>
      <c r="C10" s="2"/>
    </row>
    <row r="11" spans="1:3" ht="55.5" customHeight="1" x14ac:dyDescent="0.2">
      <c r="A11" s="1" t="s">
        <v>110</v>
      </c>
      <c r="B11" t="s">
        <v>111</v>
      </c>
      <c r="C11" s="2" t="s">
        <v>112</v>
      </c>
    </row>
    <row r="12" spans="1:3" ht="55.5" customHeight="1" x14ac:dyDescent="0.2">
      <c r="A12" s="1" t="s">
        <v>6</v>
      </c>
      <c r="B12" t="s">
        <v>113</v>
      </c>
      <c r="C12" s="2" t="s">
        <v>114</v>
      </c>
    </row>
    <row r="13" spans="1:3" ht="55.5" customHeight="1" x14ac:dyDescent="0.2">
      <c r="A13" s="1" t="s">
        <v>7</v>
      </c>
      <c r="B13" t="s">
        <v>115</v>
      </c>
      <c r="C13" s="2" t="s">
        <v>116</v>
      </c>
    </row>
    <row r="14" spans="1:3" ht="15" customHeight="1" x14ac:dyDescent="0.2">
      <c r="A14" t="s">
        <v>8</v>
      </c>
      <c r="B14" t="s">
        <v>115</v>
      </c>
      <c r="C14" t="s">
        <v>117</v>
      </c>
    </row>
    <row r="15" spans="1:3" ht="15" customHeight="1" x14ac:dyDescent="0.2">
      <c r="A15" s="1" t="s">
        <v>9</v>
      </c>
      <c r="B15" t="s">
        <v>118</v>
      </c>
      <c r="C15" t="s">
        <v>119</v>
      </c>
    </row>
    <row r="16" spans="1:3" ht="15" customHeight="1" x14ac:dyDescent="0.2">
      <c r="A16" s="1" t="s">
        <v>10</v>
      </c>
      <c r="B16" s="1" t="s">
        <v>113</v>
      </c>
      <c r="C16" s="1" t="s">
        <v>120</v>
      </c>
    </row>
    <row r="17" spans="1:3" ht="63.75" customHeight="1" x14ac:dyDescent="0.2">
      <c r="A17" s="1" t="s">
        <v>11</v>
      </c>
      <c r="B17" s="1" t="s">
        <v>121</v>
      </c>
      <c r="C17" s="2" t="s">
        <v>122</v>
      </c>
    </row>
    <row r="18" spans="1:3" ht="63.75" customHeight="1" x14ac:dyDescent="0.2">
      <c r="A18" s="1" t="s">
        <v>12</v>
      </c>
      <c r="B18" s="1" t="s">
        <v>118</v>
      </c>
      <c r="C18" s="2" t="s">
        <v>123</v>
      </c>
    </row>
    <row r="19" spans="1:3" ht="63.75" customHeight="1" x14ac:dyDescent="0.2">
      <c r="A19" s="1" t="s">
        <v>13</v>
      </c>
      <c r="B19" s="1" t="s">
        <v>113</v>
      </c>
      <c r="C19" s="2" t="s">
        <v>124</v>
      </c>
    </row>
    <row r="20" spans="1:3" ht="63.75" customHeight="1" x14ac:dyDescent="0.2">
      <c r="A20" s="1" t="s">
        <v>14</v>
      </c>
      <c r="B20" s="1" t="s">
        <v>125</v>
      </c>
      <c r="C20" s="2" t="s">
        <v>126</v>
      </c>
    </row>
    <row r="21" spans="1:3" ht="63.75" customHeight="1" x14ac:dyDescent="0.2">
      <c r="A21" s="1" t="s">
        <v>15</v>
      </c>
      <c r="B21" s="1" t="s">
        <v>127</v>
      </c>
      <c r="C21" s="2" t="s">
        <v>128</v>
      </c>
    </row>
    <row r="22" spans="1:3" ht="63.75" customHeight="1" x14ac:dyDescent="0.2">
      <c r="A22" s="1"/>
      <c r="B22" s="1"/>
      <c r="C22" s="2"/>
    </row>
    <row r="23" spans="1:3" ht="63.75" customHeight="1" x14ac:dyDescent="0.2">
      <c r="A23" s="1" t="s">
        <v>129</v>
      </c>
      <c r="B23" s="1"/>
      <c r="C23" s="2"/>
    </row>
    <row r="24" spans="1:3" ht="63.75" customHeight="1" x14ac:dyDescent="0.2">
      <c r="A24" s="1"/>
      <c r="B24" s="1"/>
      <c r="C24" s="2"/>
    </row>
    <row r="25" spans="1:3" ht="63.75" customHeight="1" x14ac:dyDescent="0.2">
      <c r="A25" s="1"/>
      <c r="B25" s="1"/>
      <c r="C25" s="2"/>
    </row>
    <row r="26" spans="1:3" ht="63.75" customHeight="1" x14ac:dyDescent="0.2">
      <c r="A26" s="1"/>
      <c r="B26" s="1"/>
      <c r="C26" s="2"/>
    </row>
    <row r="28" spans="1:3" ht="55.5" customHeight="1" x14ac:dyDescent="0.2">
      <c r="A2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2" width="120" customWidth="1"/>
  </cols>
  <sheetData>
    <row r="1" spans="1:2" ht="15" customHeight="1" x14ac:dyDescent="0.2">
      <c r="A1" s="1" t="s">
        <v>130</v>
      </c>
    </row>
    <row r="3" spans="1:2" ht="72" customHeight="1" x14ac:dyDescent="0.2">
      <c r="A3" s="1" t="s">
        <v>131</v>
      </c>
      <c r="B3" s="2" t="s">
        <v>132</v>
      </c>
    </row>
    <row r="4" spans="1:2" ht="72" customHeight="1" x14ac:dyDescent="0.2">
      <c r="A4" s="1" t="s">
        <v>133</v>
      </c>
      <c r="B4" s="2" t="s">
        <v>134</v>
      </c>
    </row>
    <row r="5" spans="1:2" ht="72" customHeight="1" x14ac:dyDescent="0.2">
      <c r="A5" s="1" t="s">
        <v>135</v>
      </c>
      <c r="B5" s="2" t="s">
        <v>136</v>
      </c>
    </row>
    <row r="6" spans="1:2" ht="72" customHeight="1" x14ac:dyDescent="0.2">
      <c r="A6" s="1" t="s">
        <v>137</v>
      </c>
      <c r="B6" s="2" t="s">
        <v>138</v>
      </c>
    </row>
    <row r="7" spans="1:2" ht="72" customHeight="1" x14ac:dyDescent="0.2">
      <c r="A7" s="1" t="s">
        <v>139</v>
      </c>
      <c r="B7" s="2" t="s">
        <v>140</v>
      </c>
    </row>
    <row r="8" spans="1:2" ht="72" customHeight="1" x14ac:dyDescent="0.2">
      <c r="A8" s="1" t="s">
        <v>141</v>
      </c>
      <c r="B8" s="2" t="s">
        <v>142</v>
      </c>
    </row>
    <row r="9" spans="1:2" ht="72" customHeight="1" x14ac:dyDescent="0.2">
      <c r="A9" s="1" t="s">
        <v>98</v>
      </c>
      <c r="B9" s="2" t="s">
        <v>143</v>
      </c>
    </row>
    <row r="10" spans="1:2" ht="72" customHeight="1" x14ac:dyDescent="0.2">
      <c r="A10" s="1" t="s">
        <v>144</v>
      </c>
      <c r="B10" s="2" t="s">
        <v>145</v>
      </c>
    </row>
    <row r="11" spans="1:2" ht="15" customHeight="1" x14ac:dyDescent="0.2">
      <c r="A11" t="s">
        <v>146</v>
      </c>
      <c r="B11" t="s">
        <v>147</v>
      </c>
    </row>
    <row r="12" spans="1:2" ht="15" customHeight="1" x14ac:dyDescent="0.2">
      <c r="A12" t="s">
        <v>148</v>
      </c>
      <c r="B12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Audit &amp; Flags</vt:lpstr>
      <vt:lpstr>Sources &amp;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Jeong, Inyong Ian (School SA)</cp:lastModifiedBy>
  <cp:revision>0</cp:revision>
  <dcterms:created xsi:type="dcterms:W3CDTF">2026-08-10T07:28:17Z</dcterms:created>
  <dcterms:modified xsi:type="dcterms:W3CDTF">2026-09-05T02:09:43Z</dcterms:modified>
  <dc:language>en-US</dc:language>
</cp:coreProperties>
</file>