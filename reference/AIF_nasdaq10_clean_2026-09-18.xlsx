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ianjeong/Downloads/"/>
    </mc:Choice>
  </mc:AlternateContent>
  <xr:revisionPtr revIDLastSave="0" documentId="13_ncr:1_{483383CE-4ACF-1547-85A3-106ADCF2B652}" xr6:coauthVersionLast="47" xr6:coauthVersionMax="47" xr10:uidLastSave="{00000000-0000-0000-0000-000000000000}"/>
  <bookViews>
    <workbookView xWindow="0" yWindow="660" windowWidth="29400" windowHeight="16940" tabRatio="500" xr2:uid="{00000000-000D-0000-FFFF-FFFF00000000}"/>
  </bookViews>
  <sheets>
    <sheet name="Metrics" sheetId="1" r:id="rId1"/>
    <sheet name="Audit &amp; Flags" sheetId="2" r:id="rId2"/>
    <sheet name="Change Log" sheetId="3" r:id="rId3"/>
    <sheet name="Sources &amp; Metho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6" i="1" l="1"/>
  <c r="N26" i="1"/>
  <c r="M26" i="1"/>
  <c r="L26" i="1"/>
  <c r="K26" i="1"/>
  <c r="J26" i="1"/>
  <c r="I26" i="1"/>
  <c r="H26" i="1"/>
  <c r="G26" i="1"/>
  <c r="F26" i="1"/>
</calcChain>
</file>

<file path=xl/sharedStrings.xml><?xml version="1.0" encoding="utf-8"?>
<sst xmlns="http://schemas.openxmlformats.org/spreadsheetml/2006/main" count="529" uniqueCount="365">
  <si>
    <t>NASDAQ-100 - 14 metrics x 10 companies (re-snapshot: 2026-09-18 close; fundamentals to latest reported quarter)</t>
  </si>
  <si>
    <t>Category</t>
  </si>
  <si>
    <t>#</t>
  </si>
  <si>
    <t>Indicator</t>
  </si>
  <si>
    <t>Formula / Definition</t>
  </si>
  <si>
    <t>Unit</t>
  </si>
  <si>
    <t>NVDA</t>
  </si>
  <si>
    <t>MSFT</t>
  </si>
  <si>
    <t>AAPL</t>
  </si>
  <si>
    <t>AMZN</t>
  </si>
  <si>
    <t>GOOGL</t>
  </si>
  <si>
    <t>COST</t>
  </si>
  <si>
    <t>PEP</t>
  </si>
  <si>
    <t>AMGN</t>
  </si>
  <si>
    <t>TSLA</t>
  </si>
  <si>
    <t>ADBE</t>
  </si>
  <si>
    <t>Company meta</t>
  </si>
  <si>
    <t>Company</t>
  </si>
  <si>
    <t>NVIDIA</t>
  </si>
  <si>
    <t>Microsoft</t>
  </si>
  <si>
    <t>Apple</t>
  </si>
  <si>
    <t>Amazon</t>
  </si>
  <si>
    <t>Alphabet</t>
  </si>
  <si>
    <t>Costco</t>
  </si>
  <si>
    <t>PepsiCo</t>
  </si>
  <si>
    <t>Amgen</t>
  </si>
  <si>
    <t>Tesla</t>
  </si>
  <si>
    <t>Adobe</t>
  </si>
  <si>
    <t>Sector</t>
  </si>
  <si>
    <t>Semiconductors</t>
  </si>
  <si>
    <t>Software/Cloud</t>
  </si>
  <si>
    <t>Hardware/Electronics</t>
  </si>
  <si>
    <t>E-commerce+Cloud</t>
  </si>
  <si>
    <t>Advertising/Comms</t>
  </si>
  <si>
    <t>Consumer Staples/Retail</t>
  </si>
  <si>
    <t>Consumer Staples/Beverage</t>
  </si>
  <si>
    <t>Biotechnology/Pharma</t>
  </si>
  <si>
    <t>Automotive/Clean Energy</t>
  </si>
  <si>
    <t>Software/Creative</t>
  </si>
  <si>
    <t>Fiscal year</t>
  </si>
  <si>
    <t>Feb-Jan</t>
  </si>
  <si>
    <t>Jul-Jun</t>
  </si>
  <si>
    <t>Oct-Sep</t>
  </si>
  <si>
    <t>Jan-Dec</t>
  </si>
  <si>
    <t>Sep-Aug</t>
  </si>
  <si>
    <t>Dec-Nov</t>
  </si>
  <si>
    <t>Last earnings (reported)</t>
  </si>
  <si>
    <t>2026-08-26 (Q2 FY27)</t>
  </si>
  <si>
    <t>2026-07-29 (Q4 FY26)</t>
  </si>
  <si>
    <t>2026-07-30 (Q3 FY26)</t>
  </si>
  <si>
    <t>2026-07-30 (Q2 CY26)</t>
  </si>
  <si>
    <t>2026-07-22 (Q2 CY26)</t>
  </si>
  <si>
    <t>2026-05-28 (Q3 FY26)</t>
  </si>
  <si>
    <t>2026-07-09 (Q2 CY26)</t>
  </si>
  <si>
    <t>2026-08-04 (Q2 CY26)</t>
  </si>
  <si>
    <t>2026-09-10 (Q3 FY26)</t>
  </si>
  <si>
    <t>Next earnings</t>
  </si>
  <si>
    <t>2026-11 (est, unconfirmed)</t>
  </si>
  <si>
    <t>2026-10-28 (est)</t>
  </si>
  <si>
    <t>2026-10-29 (est)</t>
  </si>
  <si>
    <t>2026-09-24 (confirmed)</t>
  </si>
  <si>
    <t>2026-10-08 (est)</t>
  </si>
  <si>
    <t>2026-11-02 (est)</t>
  </si>
  <si>
    <t>2026-10-21 or 10-28 (est)</t>
  </si>
  <si>
    <t>2026-12-09 (est)</t>
  </si>
  <si>
    <t>Price (2026-09-18 close, $)</t>
  </si>
  <si>
    <t>Tier 1 - Event-study</t>
  </si>
  <si>
    <t>Earnings Surprise</t>
  </si>
  <si>
    <t>(Actual EPS - Est EPS)/|Est EPS|</t>
  </si>
  <si>
    <t>%, latest qtr</t>
  </si>
  <si>
    <t>EPS growth (YoY)</t>
  </si>
  <si>
    <t>(EPS_t - EPS_t-1)/|EPS_t-1|</t>
  </si>
  <si>
    <t>%, TTM</t>
  </si>
  <si>
    <t>Tier 2 - Cross-sectional</t>
  </si>
  <si>
    <t>P/E ratio</t>
  </si>
  <si>
    <t>Price / EPS (TTM diluted)</t>
  </si>
  <si>
    <t>x, TTM</t>
  </si>
  <si>
    <t>Gross margin</t>
  </si>
  <si>
    <t>Gross profit / Revenue</t>
  </si>
  <si>
    <t>Operating margin</t>
  </si>
  <si>
    <t>Operating income / Revenue</t>
  </si>
  <si>
    <t>Net profit margin</t>
  </si>
  <si>
    <t>Net income / Revenue</t>
  </si>
  <si>
    <t>ROE</t>
  </si>
  <si>
    <t>Net income / Shareholders' equity</t>
  </si>
  <si>
    <t>Asset turnover</t>
  </si>
  <si>
    <t>Revenue / Total assets</t>
  </si>
  <si>
    <t>Free Cash Flow</t>
  </si>
  <si>
    <t>Operating CF - CapEx</t>
  </si>
  <si>
    <t>$B, TTM</t>
  </si>
  <si>
    <t>EV/EBITDA</t>
  </si>
  <si>
    <t>(Mkt cap + net debt)/EBITDA</t>
  </si>
  <si>
    <t>Tier 3 - Context anchors</t>
  </si>
  <si>
    <t>Debt-to-Equity</t>
  </si>
  <si>
    <t>Total debt / Equity</t>
  </si>
  <si>
    <t>x</t>
  </si>
  <si>
    <t>Current ratio</t>
  </si>
  <si>
    <t>Current assets / Current liab.</t>
  </si>
  <si>
    <t>Earnings yield</t>
  </si>
  <si>
    <t>EPS / Price (= 1 / P/E)</t>
  </si>
  <si>
    <t>%</t>
  </si>
  <si>
    <t>Revenue growth (YoY)</t>
  </si>
  <si>
    <t>(Rev_t - Rev_t-1)/Rev_t-1</t>
  </si>
  <si>
    <t>Audit log - independent check of every value (10 companies). Re-snapshot 2026-09-18.</t>
  </si>
  <si>
    <t>Three checks. (A) Transcription: every value re-checked cell-by-cell against its source page. (B) External validity: cross-checked against a second vendor (Yahoo / CNBC / Morningstar). (C) Staleness: every cell re-checked on 2026-09-21 against live sources. See Change Log for every edit.</t>
  </si>
  <si>
    <t>Transcription check: 0 errors. Staleness check: 2 of 10 companies had reported since the prior cutoff (NVDA, ADBE); all 10 prices were stale.</t>
  </si>
  <si>
    <t>Cross-check: Yahoo and stockanalysis (S&amp;P Global) match on all 10 companies for Profit margin, ROA, ROE, Revenue (ttm), Net income (ttm), Diluted EPS (ttm). Trailing P/E and D/E also match except the three cases below.</t>
  </si>
  <si>
    <t>Cross-source differences (definitional / date - not data errors):</t>
  </si>
  <si>
    <t>P/E - TSLA</t>
  </si>
  <si>
    <t>Yahoo 304.24 vs stockanalysis 340.97. The 340.97 uses net income / current shares (3.95B); standard trailing P/E = price 328.58 / TTM diluted EPS 1.08 = 304.24, matching Yahoo and the other 9. Table uses 304.24. Ratio near-meaningless either way (see TSLA flag).</t>
  </si>
  <si>
    <t>P/E - NVDA</t>
  </si>
  <si>
    <t>One Yahoo page showed 30.74 from a stale 7/31 snapshot. EPS 6.53 x 8/7 price 223.96 = 34.30 (table value, current).</t>
  </si>
  <si>
    <t>Debt/Equity - COST</t>
  </si>
  <si>
    <t>stockanalysis 0.25 (financial debt only) vs Yahoo 0.60 (includes operating-lease liabilities). Costco is lease-heavy, so the two diverge. Table uses 0.25 (consistent basis); lease-inclusive ~0.60. For PEP/AMGN/TSLA/ADBE both sources match (2.39 / 4.90 / 0.18 / 0.61).</t>
  </si>
  <si>
    <t>EV/EBITDA (all)</t>
  </si>
  <si>
    <t>Source difference: Yahoo uses net-income-based EBITDA (includes one-off gains for AMZN/GOOGL and SBC add-backs); S&amp;P Global uses operating-based EBITDA. Table uses operating-based. Gaps small except where earnings are distorted.</t>
  </si>
  <si>
    <t>Free Cash Flow (all)</t>
  </si>
  <si>
    <t>Table = Operating CF - CapEx (formula #13). Yahoo's headline 'Levered Free Cash Flow' is a different metric, not used here.</t>
  </si>
  <si>
    <t>DATA-QUALITY FLAGS</t>
  </si>
  <si>
    <t>Ticker</t>
  </si>
  <si>
    <t>Confidence</t>
  </si>
  <si>
    <t>Flag</t>
  </si>
  <si>
    <t>High</t>
  </si>
  <si>
    <t>Surprise no longer pending: Q2 FY27 beat +6.2% (non-GAAP $2.22 vs $2.09) and revenue +4.5%. TWO REAL CHANGES, not data refreshes: (1) D/E rose 0.07 -&gt; 0.17, total debt now $38.86B - NVIDIA levered up. (2) Total assets roughly doubled, so asset turnover fell ~1.32 -&gt; ~0.84. P/E fell 34.3 -&gt; 28.1 while every fundamental improved: earnings outran the price. Best single teaching case in the table.</t>
  </si>
  <si>
    <t>Med-High</t>
  </si>
  <si>
    <t>Q4 FY26 EPS partly aided by a $3.2B Anthropic gain and lower voluntary-retirement costs. Minor distortion.</t>
  </si>
  <si>
    <t>Q3 FY26 EPS included ~$0.11 one-off tariff refund (adj EPS $1.91 vs reported $2.02). ROE 148.75% inflated by buyback-shrunk equity.</t>
  </si>
  <si>
    <t>Low (caution)</t>
  </si>
  <si>
    <t>Severe. Q2 GAAP EPS $5.75 includes a $53.4B Anthropic gain, so the +214% surprise is a one-off, not operating (real operating surprise ~flat). Net margin 17.4% &gt; operating margin 12.1% (inversion). ROE and EPS growth also inflated. FCF -$11.6B (AI capex $173B &gt; OCF $161B).</t>
  </si>
  <si>
    <t>Severe. Q2 GAAP EPS $9.11 includes a ~$99B equity-securities gain (Anthropic + SpaceX), so the +215% surprise is a one-off. Net margin 54.8%, ROE 48.7%, EPS growth +112% all inflated. P/E 17.78 looks artificially low.</t>
  </si>
  <si>
    <t>Clean. Low margins (GM 12.9%, NM 3.0%) offset by high asset turnover (3.63) - opposite DuPont profile to the tech names. Earnings Surprise ~0% (in-line, GAAP $4.93 vs $4.93). D/E ex-leases 0.25; lease-inclusive ~0.60.</t>
  </si>
  <si>
    <t>Med</t>
  </si>
  <si>
    <t>EPS growth (TTM) +39% inflated by a depressed FY2025 base (impairments); underlying adjusted growth ~mid-single-digit. High leverage (D/E 2.39, net debt -$42.5B). ROE 51.5% raised by buyback-shrunk equity. Q2 -0.45% (slight miss, adjusted).</t>
  </si>
  <si>
    <t>EPS growth (TTM) +32% GAAP inflated by a weak 2024 base (Horizon amortization); non-GAAP underlying ~+4%. High leverage (D/E 4.90) from the Horizon acquisition; thin equity ($11.7B) raises ROE to 91%. Q2 beat +12.3%.</t>
  </si>
  <si>
    <t>P/E near-meaningless: earnings collapsed (TTM EPS $1.08, net margin 3.7%), so P/E ~300+ and ranges 270-340 across sources by share-count/date convention. EV/EBITDA ~117 similarly distorted. Q2 EPS miss -35%. The case where P/E breaks down.</t>
  </si>
  <si>
    <t>Q3 FY26 (10 Sep) beat and raised FY guidance, yet the stock fell. Surprise only +0.7% and vendor consensus ranges $5.94-$6.09, so the quoted surprise swings +0.7% to +3.2% - state which vendor you used. Operating margin fell 36.7% -&gt; 34.8% TTM. De-rating continues: P/E 13.9 on 89% gross margin. Also in the window: announced Topaz Labs acquisition; press reported a leadership change. Neither is in the numbers yet.</t>
  </si>
  <si>
    <t>Event-study implication: several mega-caps booked Anthropic/SpaceX mark-to-market gains in 2026 Q2, producing one-off Earnings Surprises and inflated EPS growth / net margin / ROE. For surprise-vs-abnormal-return work, compute an operating (adjusted-EPS) surprise separately. Table values are as-reported; distorted names flagged above.</t>
  </si>
  <si>
    <t>RE-SNAPSHOT NOTE (2026-09-21)</t>
  </si>
  <si>
    <t>MIXED-DATE RISK: prices are 2026-09-18; fundamentals are as-of each companys latest reported quarter (Jul 2026 for NVDA, Aug 2026 for ADBE, Jun 2026 for the other eight). That is the standard convention for a TTM table and is defensible - but it must be stated, or an assessor will read P/E as internally inconsistent.</t>
  </si>
  <si>
    <t>EVENT-STUDY DATA NOW AVAILABLE - collect before it is hard to reconstruct: NVDA reported after the close on 26 Aug and rose +8.74% the next session (27 Aug), on ~299M shares vs a ~100M-share norm. That is a large, clean surprise-to-return observation. ADBE reported after the close on 10 Sep, beat, raised guidance, and FELL. Two observations pointing in opposite directions is worth more to a falsifiable question than ten confirming ones.</t>
  </si>
  <si>
    <t>Prices moved a long way in six weeks and not in the direction a beginner would guess: TSLA +10.9% and AAPL +7.3% despite the worst and a middling set of fundamentals; AMZN -7.6%, PEP -6.7% (52-week low), AMGN -6.2%, COST -5.5%. Fundamentals barely moved. Price did. That gap is the projects actual subject.</t>
  </si>
  <si>
    <t>CHANGE LOG - every cell re-checked against live sources on 2026-09-21 (last US close 2026-09-18)</t>
  </si>
  <si>
    <t>Prior snapshot: prices 2026-08-07, data cutoff 2026-08-11. Elapsed: 6 weeks. Two scheduled earnings dates inside the old file have since passed.</t>
  </si>
  <si>
    <t>Confidence key: VERIFIED = read from a named source. DERIVED = computed here from verified inputs; method stated. VERIFY = carried forward or estimated; re-pull before submission.</t>
  </si>
  <si>
    <t>Cell</t>
  </si>
  <si>
    <t>Item</t>
  </si>
  <si>
    <t>Old value</t>
  </si>
  <si>
    <t>New value</t>
  </si>
  <si>
    <t>Source / method</t>
  </si>
  <si>
    <t>F8</t>
  </si>
  <si>
    <t>Last earnings</t>
  </si>
  <si>
    <t>2026-05-20 (Q1 FY27)</t>
  </si>
  <si>
    <t>VERIFIED</t>
  </si>
  <si>
    <t>NVIDIA press release, 26 Aug 2026 (nvidianews.nvidia.com)</t>
  </si>
  <si>
    <t>O8</t>
  </si>
  <si>
    <t>2026-06-11 (Q2 FY26)</t>
  </si>
  <si>
    <t>Adobe Q3 FY2026 release / earnings call, 10 Sep 2026</t>
  </si>
  <si>
    <t>F9</t>
  </si>
  <si>
    <t>2026-08-26 (confirmed)</t>
  </si>
  <si>
    <t>VERIFY</t>
  </si>
  <si>
    <t>Yahoo shows 17 Nov 2026; Investing.com shows 25 Nov 2026. Not company-confirmed. Do not present as a date.</t>
  </si>
  <si>
    <t>N9</t>
  </si>
  <si>
    <t>Yahoo + stockanalysis show 21 Oct; TradingView + Investing.com show 28 Oct. Unresolved.</t>
  </si>
  <si>
    <t>O9</t>
  </si>
  <si>
    <t>2026-09-10 (confirmed)</t>
  </si>
  <si>
    <t>Yahoo Finance. Q4 FY26. Not yet company-confirmed.</t>
  </si>
  <si>
    <t>J9/K9/L9/M9</t>
  </si>
  <si>
    <t>GOOGL/COST/PEP/AMGN</t>
  </si>
  <si>
    <t>unchanged</t>
  </si>
  <si>
    <t>Re-confirmed: GOOGL 28 Oct (est), COST 24 Sep (CONFIRMED, company IR), PEP 8 Oct (est), AMGN 2-3 Nov (est).</t>
  </si>
  <si>
    <t>G9/H9/I9</t>
  </si>
  <si>
    <t>MSFT/AAPL/AMZN</t>
  </si>
  <si>
    <t>Not re-checked this round. Low risk but unverified.</t>
  </si>
  <si>
    <t>F10:O10</t>
  </si>
  <si>
    <t>Price</t>
  </si>
  <si>
    <t>ALL</t>
  </si>
  <si>
    <t>2026-08-07 close</t>
  </si>
  <si>
    <t>2026-09-18 close</t>
  </si>
  <si>
    <t>Cross-checked per ticker across Yahoo / CNBC / Morningstar / stockanalysis. All ten agree to the cent.</t>
  </si>
  <si>
    <t xml:space="preserve">  NVDA</t>
  </si>
  <si>
    <t>223.96</t>
  </si>
  <si>
    <t>222.27 (-0.8%)</t>
  </si>
  <si>
    <t xml:space="preserve">  MSFT</t>
  </si>
  <si>
    <t>499.99</t>
  </si>
  <si>
    <t>493.78 (-1.2%)</t>
  </si>
  <si>
    <t xml:space="preserve">  AAPL</t>
  </si>
  <si>
    <t>313.33</t>
  </si>
  <si>
    <t>336.13 (+7.3%)</t>
  </si>
  <si>
    <t xml:space="preserve">  AMZN</t>
  </si>
  <si>
    <t>274.48</t>
  </si>
  <si>
    <t>253.71 (-7.6%)</t>
  </si>
  <si>
    <t xml:space="preserve">  GOOGL</t>
  </si>
  <si>
    <t>354.30</t>
  </si>
  <si>
    <t>349.54 (-1.3%)</t>
  </si>
  <si>
    <t xml:space="preserve">  COST</t>
  </si>
  <si>
    <t>947.82</t>
  </si>
  <si>
    <t>895.31 (-5.5%)</t>
  </si>
  <si>
    <t xml:space="preserve">  PEP</t>
  </si>
  <si>
    <t>139.02</t>
  </si>
  <si>
    <t>129.75 (-6.7%)</t>
  </si>
  <si>
    <t>Closed at its 52-week low (129.50 intraday).</t>
  </si>
  <si>
    <t xml:space="preserve">  AMGN</t>
  </si>
  <si>
    <t>410.95</t>
  </si>
  <si>
    <t>385.65 (-6.2%)</t>
  </si>
  <si>
    <t>Hit a 52-week high of 447.03 on 25 Aug, then fell ~12% in a month.</t>
  </si>
  <si>
    <t xml:space="preserve">  TSLA</t>
  </si>
  <si>
    <t>328.58</t>
  </si>
  <si>
    <t>364.27 (+10.9%)</t>
  </si>
  <si>
    <t>Largest gainer in the set over the window.</t>
  </si>
  <si>
    <t xml:space="preserve">  ADBE</t>
  </si>
  <si>
    <t>265.21</t>
  </si>
  <si>
    <t>248.92 (-6.1%)</t>
  </si>
  <si>
    <t>Fell on the 10 Sep print despite a beat and raised guidance.</t>
  </si>
  <si>
    <t>F12</t>
  </si>
  <si>
    <t>n/a (pending)</t>
  </si>
  <si>
    <t>+6.2%</t>
  </si>
  <si>
    <t>Non-GAAP EPS $2.22 vs consensus $2.09. Beat also on revenue ($96.22B vs $92.07B).</t>
  </si>
  <si>
    <t>O12</t>
  </si>
  <si>
    <t>+2.2% (Q2)</t>
  </si>
  <si>
    <t>+0.7% (Q3)</t>
  </si>
  <si>
    <t>Non-GAAP EPS $6.13 vs consensus $6.09. CAUTION: consensus is quoted as 5.94 / 6.07 / 6.08 / 6.09 across vendors, so the surprise ranges +0.7% to +3.2%. Pick one vendor and say which.</t>
  </si>
  <si>
    <t>F13</t>
  </si>
  <si>
    <t>EPS growth (YoY TTM)</t>
  </si>
  <si>
    <t>+110.6%</t>
  </si>
  <si>
    <t>+125.3%</t>
  </si>
  <si>
    <t>stockanalysis.com overview.</t>
  </si>
  <si>
    <t>O13</t>
  </si>
  <si>
    <t>+11.8%</t>
  </si>
  <si>
    <t>+11.6%</t>
  </si>
  <si>
    <t>F15:O15</t>
  </si>
  <si>
    <t>P/E</t>
  </si>
  <si>
    <t>recomputed</t>
  </si>
  <si>
    <t>see Metrics</t>
  </si>
  <si>
    <t>VERIFIED/DERIVED</t>
  </si>
  <si>
    <t>For the 8 non-reporters, TTM EPS is unchanged, so P/E = new price / same EPS - exact, not an estimate. NVDA and ADBE use new TTM EPS.</t>
  </si>
  <si>
    <t>34.30</t>
  </si>
  <si>
    <t>28.10</t>
  </si>
  <si>
    <t>222.27 / 7.91. EPS rose from 6.53 to 7.91; P/E FELL even though the fundamentals improved. Good teaching case.</t>
  </si>
  <si>
    <t>27.85</t>
  </si>
  <si>
    <t>27.51</t>
  </si>
  <si>
    <t>493.78 / 17.95</t>
  </si>
  <si>
    <t>35.94</t>
  </si>
  <si>
    <t>38.55</t>
  </si>
  <si>
    <t>336.13 / 8.72</t>
  </si>
  <si>
    <t>22.07</t>
  </si>
  <si>
    <t>20.41</t>
  </si>
  <si>
    <t>253.71 / 12.43</t>
  </si>
  <si>
    <t>17.78</t>
  </si>
  <si>
    <t>17.54</t>
  </si>
  <si>
    <t>349.54 / 19.93</t>
  </si>
  <si>
    <t>47.67</t>
  </si>
  <si>
    <t>45.04</t>
  </si>
  <si>
    <t>895.31 / 19.88</t>
  </si>
  <si>
    <t>18.22</t>
  </si>
  <si>
    <t>17.01</t>
  </si>
  <si>
    <t>129.75 / 7.63</t>
  </si>
  <si>
    <t>25.53</t>
  </si>
  <si>
    <t>23.97</t>
  </si>
  <si>
    <t>385.65 / 16.09</t>
  </si>
  <si>
    <t>304.24</t>
  </si>
  <si>
    <t>337.29</t>
  </si>
  <si>
    <t>364.27 / 1.08. Note: at EPS 1.09 it is 334.19. A 1-cent EPS change moves P/E by ~3 points - this IS the breakdown case.</t>
  </si>
  <si>
    <t>15.17</t>
  </si>
  <si>
    <t>13.90</t>
  </si>
  <si>
    <t>248.92 / 17.91</t>
  </si>
  <si>
    <t>F16</t>
  </si>
  <si>
    <t>74.15%</t>
  </si>
  <si>
    <t>74.67%</t>
  </si>
  <si>
    <t>stockanalysis.com financials, TTM ending Jul 26 2026.</t>
  </si>
  <si>
    <t>O16</t>
  </si>
  <si>
    <t>89.40%</t>
  </si>
  <si>
    <t>~89.25%</t>
  </si>
  <si>
    <t>DERIVED</t>
  </si>
  <si>
    <t>Q3 FY26 GAAP GM 88.7% replacing Q3 FY25 89.3% in the TTM. Re-pull the exact TTM figure.</t>
  </si>
  <si>
    <t>F17</t>
  </si>
  <si>
    <t>64.02%</t>
  </si>
  <si>
    <t>65.21%</t>
  </si>
  <si>
    <t>stockanalysis.com financials, TTM Jul 2026.</t>
  </si>
  <si>
    <t>O17</t>
  </si>
  <si>
    <t>36.72%</t>
  </si>
  <si>
    <t>34.82%</t>
  </si>
  <si>
    <t>Yahoo key statistics, TTM. Down ~190bp - worth a sentence, not just a cell.</t>
  </si>
  <si>
    <t>F18</t>
  </si>
  <si>
    <t>62.97%</t>
  </si>
  <si>
    <t>63.66%</t>
  </si>
  <si>
    <t>stockanalysis + Yahoo agree.</t>
  </si>
  <si>
    <t>O18</t>
  </si>
  <si>
    <t>28.69%</t>
  </si>
  <si>
    <t>28.05%</t>
  </si>
  <si>
    <t>Yahoo key statistics, TTM.</t>
  </si>
  <si>
    <t>F19</t>
  </si>
  <si>
    <t>114.29%</t>
  </si>
  <si>
    <t>117.21%</t>
  </si>
  <si>
    <t>O19</t>
  </si>
  <si>
    <t>62.95%</t>
  </si>
  <si>
    <t>61.90%</t>
  </si>
  <si>
    <t>F20</t>
  </si>
  <si>
    <t>1.32</t>
  </si>
  <si>
    <t>0.84</t>
  </si>
  <si>
    <t>DERIVED - VERIFY</t>
  </si>
  <si>
    <t>Back-solved: ROA 53.57% / net margin 63.66% = 0.84. Investing.com still shows 1.31 (stale). Total assets roughly doubled this quarter (debt raise + investments), so 1.32 is certainly wrong, but confirm 0.84 directly.</t>
  </si>
  <si>
    <t>O20</t>
  </si>
  <si>
    <t>0.87</t>
  </si>
  <si>
    <t>0.87 (carried)</t>
  </si>
  <si>
    <t>Not re-pulled post-Q3. Yahoo ROA implies ~0.70, but on a different asset base. Re-pull from stockanalysis for a like-for-like number.</t>
  </si>
  <si>
    <t>F21</t>
  </si>
  <si>
    <t>$119.08B</t>
  </si>
  <si>
    <t>$127.01B</t>
  </si>
  <si>
    <t>stockanalysis cash-flow statement, TTM ending Jul 26 2026 (OCF - CapEx - the sheet definition).</t>
  </si>
  <si>
    <t>O21</t>
  </si>
  <si>
    <t>$10.28B</t>
  </si>
  <si>
    <t>~$10.60B</t>
  </si>
  <si>
    <t>Q3 FY26 OCF $2.523B less ~$0.07B capex, replacing Q3 FY25 FCF $2.126B. Yahoo levered FCF $9.13B is a different metric - do not substitute it.</t>
  </si>
  <si>
    <t>F22:O22</t>
  </si>
  <si>
    <t>see old</t>
  </si>
  <si>
    <t>Method: new EV/EBITDA = (new market cap + net debt) / EBITDA, with market cap moved by the verified price change x shares outstanding, and EBITDA held constant except for NVDA and ADBE which have new TTM EBITDA. Directionally sound; treat the second decimal as noise. This is the weakest row in the file - re-pull all ten from one source before submission.</t>
  </si>
  <si>
    <t>F24</t>
  </si>
  <si>
    <t>0.07</t>
  </si>
  <si>
    <t>0.17</t>
  </si>
  <si>
    <t>stockanalysis 0.17; Yahoo 16.97%. MATERIAL: total debt is now $38.86B. NVIDIA levered up during the quarter. This is a real business change, not a data refresh.</t>
  </si>
  <si>
    <t>O24</t>
  </si>
  <si>
    <t>0.61</t>
  </si>
  <si>
    <t>0.57</t>
  </si>
  <si>
    <t>Yahoo total debt/equity 57.48% (mrq).</t>
  </si>
  <si>
    <t>F25</t>
  </si>
  <si>
    <t>3.44</t>
  </si>
  <si>
    <t>4.59</t>
  </si>
  <si>
    <t>stockanalysis and Yahoo both show 4.59.</t>
  </si>
  <si>
    <t>O25</t>
  </si>
  <si>
    <t>0.75</t>
  </si>
  <si>
    <t>0.77</t>
  </si>
  <si>
    <t>Yahoo current ratio (mrq).</t>
  </si>
  <si>
    <t>F26:O26</t>
  </si>
  <si>
    <t>1 divided by P/E (live formula)</t>
  </si>
  <si>
    <t>Live formula - self-updated when P/E changed. No manual edit needed. This is why the formula was the right call.</t>
  </si>
  <si>
    <t>F27</t>
  </si>
  <si>
    <t>Revenue growth (TTM)</t>
  </si>
  <si>
    <t>+70.7%</t>
  </si>
  <si>
    <t>+83.4%</t>
  </si>
  <si>
    <t>stockanalysis: revenue TTM $302.97B.</t>
  </si>
  <si>
    <t>O27</t>
  </si>
  <si>
    <t>+11.5%</t>
  </si>
  <si>
    <t>+12.0%</t>
  </si>
  <si>
    <t>stockanalysis: revenue TTM $25.97B.</t>
  </si>
  <si>
    <t>NOT CHANGED, and why:</t>
  </si>
  <si>
    <t>Rows 5-7 (company, sector, fiscal year) - stable identifiers, no corporate actions found in the window. No stock splits, no ticker changes, no index removals.</t>
  </si>
  <si>
    <t>All Tier 2/3 fundamentals for MSFT, AAPL, AMZN, GOOGL, COST, PEP, AMGN, TSLA - none of these eight has reported since the original snapshot, so their TTM figures are genuinely unchanged, not merely unchecked. Spot-checked and matched: MSFT gross margin 67.94% and ROE 34.04%; AAPL gross margin 48.65%; AMZN ROE 30.56% and gross margin 50.77%; GOOGL ROE 48.68% and net margin 54.77%; PEP ROE 51.51% and net margin 10.79%.</t>
  </si>
  <si>
    <t>SOURCES &amp; METHOD</t>
  </si>
  <si>
    <t>Primary source</t>
  </si>
  <si>
    <t>stockanalysis.com. Fundamentals from S&amp;P Global Market Intelligence; growth/statements from Fiscal.ai.</t>
  </si>
  <si>
    <t>Verification</t>
  </si>
  <si>
    <t>Two-vendor rule. Every value cross-checked against a second source (Yahoo Finance / CNBC / Morningstar / GuruFocus) on 2026-09-21. Prices agreed to the cent across all ten. Differences remain only in: EV/EBITDA (EBITDA definition), FCF (levered vs OCF-CapEx), COST D/E (lease treatment), TSLA P/E (share-count convention).</t>
  </si>
  <si>
    <t>Why not Yahoo as primary</t>
  </si>
  <si>
    <t>Yahoo's key-statistics page did not load in full; only a reduced summary was accessible (no gross/operating margin, asset turnover, current ratio, or TTM growth). stockanalysis.com gives the complete set from S&amp;P Global and matches Yahoo on every field that could be compared. Its FCF also matches the OCF-CapEx definition used here; Yahoo's headline FCF is levered FCF.</t>
  </si>
  <si>
    <t>Growth basis</t>
  </si>
  <si>
    <t>Revenue growth and EPS growth = TTM YoY (trailing 12 months vs prior 12 months).</t>
  </si>
  <si>
    <t>Earnings Surprise basis</t>
  </si>
  <si>
    <t>Latest reported quarter: (Actual EPS - consensus EPS)/|consensus|. Non-GAAP where the company guides non-GAAP (NVDA/MSFT/AMGN/TSLA/ADBE); GAAP for AAPL/AMZN/GOOGL (one-offs included, flagged); COST GAAP, in-line.</t>
  </si>
  <si>
    <t>Snapshot date</t>
  </si>
  <si>
    <t>Prices: 2026-09-18 close (last US session before 2026-09-21). Fundamentals: each companys latest reported quarter. All ten have reported at least once; no cell is left blank this round. COST reports 2026-09-24, which will make this file stale again within days - re-pull COST after that print.</t>
  </si>
  <si>
    <t>1/PE, entered as a live formula so it self-checks.</t>
  </si>
  <si>
    <t>Excluded 6 metrics</t>
  </si>
  <si>
    <t>Abnormal Return, Post-earnings volatility, ROIC, Interest coverage, Beta (vs QQQ), PEG - require a raw price series or a separate calculation. NOTE: Abnormal Return is now the highest-value missing metric, because two clean post-earnings events (NVDA 27 Aug, ADBE 11 Sep) have occurred since the prior snapshot.</t>
  </si>
  <si>
    <t>Known weak row</t>
  </si>
  <si>
    <t>EV/EBITDA is derived, not read: it was re-based by moving market cap with the verified price change and holding EBITDA constant except for NVDA and ADBE. Directionally right, second decimal is noise. Re-pull all ten from one vendor before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</si>
</sst>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%;\(0.0%\);\-"/>
    <numFmt numFmtId="166" formatCode="0.00\x"/>
    <numFmt numFmtId="167" formatCode="\$#,##0.0\B;&quot;($&quot;#,##0.0&quot;B)&quot;;\-"/>
    <numFmt numFmtId="168" formatCode="0.0%"/>
  </numFmts>
  <fonts count="4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E1" zoomScale="110" zoomScaleNormal="110" workbookViewId="0">
      <pane ySplit="4" topLeftCell="A5" activePane="bottomLeft" state="frozen"/>
      <selection pane="bottomLeft" activeCell="F8" sqref="F8"/>
    </sheetView>
  </sheetViews>
  <sheetFormatPr baseColWidth="10" defaultColWidth="8.6640625" defaultRowHeight="15" x14ac:dyDescent="0.2"/>
  <cols>
    <col min="1" max="1" width="30" customWidth="1"/>
    <col min="2" max="2" width="4" customWidth="1"/>
    <col min="3" max="3" width="22" customWidth="1"/>
    <col min="4" max="4" width="28" customWidth="1"/>
    <col min="5" max="5" width="13" customWidth="1"/>
    <col min="6" max="9" width="21" customWidth="1"/>
    <col min="10" max="10" width="20.83203125" customWidth="1"/>
    <col min="11" max="11" width="21" customWidth="1"/>
    <col min="12" max="14" width="20.83203125" customWidth="1"/>
    <col min="15" max="15" width="21" customWidth="1"/>
  </cols>
  <sheetData>
    <row r="1" spans="1:15" ht="19.5" customHeight="1" x14ac:dyDescent="0.2">
      <c r="A1" s="1" t="s">
        <v>0</v>
      </c>
    </row>
    <row r="2" spans="1:15" ht="19.5" customHeight="1" x14ac:dyDescent="0.2">
      <c r="A2" s="2"/>
    </row>
    <row r="4" spans="1:15" ht="15" customHeight="1" x14ac:dyDescent="0.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19" t="s">
        <v>6</v>
      </c>
      <c r="G4" s="19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19" t="s">
        <v>15</v>
      </c>
    </row>
    <row r="5" spans="1:15" ht="15" customHeight="1" x14ac:dyDescent="0.2">
      <c r="A5" s="1" t="s">
        <v>16</v>
      </c>
      <c r="C5" s="1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24</v>
      </c>
      <c r="M5" s="4" t="s">
        <v>25</v>
      </c>
      <c r="N5" s="4" t="s">
        <v>26</v>
      </c>
      <c r="O5" s="4" t="s">
        <v>27</v>
      </c>
    </row>
    <row r="6" spans="1:15" ht="15" customHeight="1" x14ac:dyDescent="0.2">
      <c r="A6" s="1"/>
      <c r="C6" s="1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  <c r="L6" s="4" t="s">
        <v>35</v>
      </c>
      <c r="M6" s="4" t="s">
        <v>36</v>
      </c>
      <c r="N6" s="4" t="s">
        <v>37</v>
      </c>
      <c r="O6" s="4" t="s">
        <v>38</v>
      </c>
    </row>
    <row r="7" spans="1:15" ht="15" customHeight="1" x14ac:dyDescent="0.2">
      <c r="A7" s="1"/>
      <c r="C7" s="1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43</v>
      </c>
      <c r="K7" s="4" t="s">
        <v>44</v>
      </c>
      <c r="L7" s="4" t="s">
        <v>43</v>
      </c>
      <c r="M7" s="4" t="s">
        <v>43</v>
      </c>
      <c r="N7" s="4" t="s">
        <v>43</v>
      </c>
      <c r="O7" s="4" t="s">
        <v>45</v>
      </c>
    </row>
    <row r="8" spans="1:15" ht="15" customHeight="1" x14ac:dyDescent="0.2">
      <c r="A8" s="1"/>
      <c r="C8" s="1" t="s">
        <v>46</v>
      </c>
      <c r="F8" s="4" t="s">
        <v>47</v>
      </c>
      <c r="G8" s="4" t="s">
        <v>48</v>
      </c>
      <c r="H8" s="4" t="s">
        <v>49</v>
      </c>
      <c r="I8" s="4" t="s">
        <v>50</v>
      </c>
      <c r="J8" s="4" t="s">
        <v>51</v>
      </c>
      <c r="K8" s="4" t="s">
        <v>52</v>
      </c>
      <c r="L8" s="4" t="s">
        <v>53</v>
      </c>
      <c r="M8" s="4" t="s">
        <v>54</v>
      </c>
      <c r="N8" s="4" t="s">
        <v>51</v>
      </c>
      <c r="O8" s="4" t="s">
        <v>55</v>
      </c>
    </row>
    <row r="9" spans="1:15" ht="15" customHeight="1" x14ac:dyDescent="0.2">
      <c r="A9" s="1"/>
      <c r="C9" s="1" t="s">
        <v>56</v>
      </c>
      <c r="F9" s="4" t="s">
        <v>57</v>
      </c>
      <c r="G9" s="4" t="s">
        <v>58</v>
      </c>
      <c r="H9" s="4" t="s">
        <v>59</v>
      </c>
      <c r="I9" s="4" t="s">
        <v>59</v>
      </c>
      <c r="J9" s="4" t="s">
        <v>58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</row>
    <row r="10" spans="1:15" ht="15" customHeight="1" x14ac:dyDescent="0.2">
      <c r="A10" s="1"/>
      <c r="C10" s="1" t="s">
        <v>65</v>
      </c>
      <c r="F10" s="5">
        <v>222.27</v>
      </c>
      <c r="G10" s="5">
        <v>493.78</v>
      </c>
      <c r="H10" s="5">
        <v>336.13</v>
      </c>
      <c r="I10" s="5">
        <v>253.71</v>
      </c>
      <c r="J10" s="5">
        <v>349.54</v>
      </c>
      <c r="K10" s="5">
        <v>895.31</v>
      </c>
      <c r="L10" s="5">
        <v>129.75</v>
      </c>
      <c r="M10" s="5">
        <v>385.65</v>
      </c>
      <c r="N10" s="5">
        <v>364.27</v>
      </c>
      <c r="O10" s="5">
        <v>248.92</v>
      </c>
    </row>
    <row r="11" spans="1:15" ht="15" customHeight="1" x14ac:dyDescent="0.2">
      <c r="A11" s="1" t="s">
        <v>66</v>
      </c>
    </row>
    <row r="12" spans="1:15" ht="15" customHeight="1" x14ac:dyDescent="0.2">
      <c r="B12" s="4">
        <v>1</v>
      </c>
      <c r="C12" s="1" t="s">
        <v>67</v>
      </c>
      <c r="D12" s="2" t="s">
        <v>68</v>
      </c>
      <c r="E12" s="4" t="s">
        <v>69</v>
      </c>
      <c r="F12" s="6">
        <v>6.2199999999999998E-2</v>
      </c>
      <c r="G12" s="7">
        <v>0.11799999999999999</v>
      </c>
      <c r="H12" s="7">
        <v>6.9000000000000006E-2</v>
      </c>
      <c r="I12" s="7">
        <v>2.14</v>
      </c>
      <c r="J12" s="7">
        <v>2.15</v>
      </c>
      <c r="K12" s="7">
        <v>0</v>
      </c>
      <c r="L12" s="7">
        <v>-4.4999999999999997E-3</v>
      </c>
      <c r="M12" s="7">
        <v>0.123</v>
      </c>
      <c r="N12" s="7">
        <v>-0.35299999999999998</v>
      </c>
      <c r="O12" s="6">
        <v>6.6E-3</v>
      </c>
    </row>
    <row r="13" spans="1:15" ht="15" customHeight="1" x14ac:dyDescent="0.2">
      <c r="B13" s="4">
        <v>4</v>
      </c>
      <c r="C13" s="1" t="s">
        <v>70</v>
      </c>
      <c r="D13" s="2" t="s">
        <v>71</v>
      </c>
      <c r="E13" s="4" t="s">
        <v>72</v>
      </c>
      <c r="F13" s="6">
        <v>1.2527999999999999</v>
      </c>
      <c r="G13" s="7">
        <v>0.316</v>
      </c>
      <c r="H13" s="7">
        <v>0.32319999999999999</v>
      </c>
      <c r="I13" s="7">
        <v>0.8992</v>
      </c>
      <c r="J13" s="7">
        <v>1.1203000000000001</v>
      </c>
      <c r="K13" s="7">
        <v>0.12759999999999999</v>
      </c>
      <c r="L13" s="7">
        <v>0.38979999999999998</v>
      </c>
      <c r="M13" s="7">
        <v>0.31559999999999999</v>
      </c>
      <c r="N13" s="7">
        <v>-0.3533</v>
      </c>
      <c r="O13" s="6">
        <v>0.11600000000000001</v>
      </c>
    </row>
    <row r="14" spans="1:15" ht="15" customHeight="1" x14ac:dyDescent="0.2">
      <c r="A14" s="1" t="s">
        <v>73</v>
      </c>
    </row>
    <row r="15" spans="1:15" ht="15" customHeight="1" x14ac:dyDescent="0.2">
      <c r="B15" s="4">
        <v>5</v>
      </c>
      <c r="C15" s="1" t="s">
        <v>74</v>
      </c>
      <c r="D15" s="2" t="s">
        <v>75</v>
      </c>
      <c r="E15" s="4" t="s">
        <v>76</v>
      </c>
      <c r="F15" s="8">
        <v>28.1</v>
      </c>
      <c r="G15" s="8">
        <v>27.51</v>
      </c>
      <c r="H15" s="8">
        <v>38.549999999999997</v>
      </c>
      <c r="I15" s="8">
        <v>20.41</v>
      </c>
      <c r="J15" s="8">
        <v>17.54</v>
      </c>
      <c r="K15" s="8">
        <v>45.04</v>
      </c>
      <c r="L15" s="8">
        <v>17.010000000000002</v>
      </c>
      <c r="M15" s="8">
        <v>23.97</v>
      </c>
      <c r="N15" s="8">
        <v>337.29</v>
      </c>
      <c r="O15" s="8">
        <v>13.9</v>
      </c>
    </row>
    <row r="16" spans="1:15" ht="15" customHeight="1" x14ac:dyDescent="0.2">
      <c r="B16" s="4">
        <v>7</v>
      </c>
      <c r="C16" s="1" t="s">
        <v>77</v>
      </c>
      <c r="D16" s="2" t="s">
        <v>78</v>
      </c>
      <c r="E16" s="4" t="s">
        <v>72</v>
      </c>
      <c r="F16" s="6">
        <v>0.74670000000000003</v>
      </c>
      <c r="G16" s="7">
        <v>0.6794</v>
      </c>
      <c r="H16" s="7">
        <v>0.48649999999999999</v>
      </c>
      <c r="I16" s="7">
        <v>0.50770000000000004</v>
      </c>
      <c r="J16" s="7">
        <v>0.60899999999999999</v>
      </c>
      <c r="K16" s="7">
        <v>0.1288</v>
      </c>
      <c r="L16" s="7">
        <v>0.54169999999999996</v>
      </c>
      <c r="M16" s="7">
        <v>0.71889999999999998</v>
      </c>
      <c r="N16" s="7">
        <v>0.1885</v>
      </c>
      <c r="O16" s="6">
        <v>0.89249999999999996</v>
      </c>
    </row>
    <row r="17" spans="1:15" ht="15" customHeight="1" x14ac:dyDescent="0.2">
      <c r="B17" s="4">
        <v>8</v>
      </c>
      <c r="C17" s="1" t="s">
        <v>79</v>
      </c>
      <c r="D17" s="2" t="s">
        <v>80</v>
      </c>
      <c r="E17" s="4" t="s">
        <v>72</v>
      </c>
      <c r="F17" s="6">
        <v>0.65210000000000001</v>
      </c>
      <c r="G17" s="7">
        <v>0.46779999999999999</v>
      </c>
      <c r="H17" s="7">
        <v>0.33169999999999999</v>
      </c>
      <c r="I17" s="7">
        <v>0.1208</v>
      </c>
      <c r="J17" s="7">
        <v>0.33110000000000001</v>
      </c>
      <c r="K17" s="7">
        <v>3.8199999999999998E-2</v>
      </c>
      <c r="L17" s="7">
        <v>0.16039999999999999</v>
      </c>
      <c r="M17" s="7">
        <v>0.33400000000000002</v>
      </c>
      <c r="N17" s="7">
        <v>4.1300000000000003E-2</v>
      </c>
      <c r="O17" s="6">
        <v>0.34820000000000001</v>
      </c>
    </row>
    <row r="18" spans="1:15" ht="15" customHeight="1" x14ac:dyDescent="0.2">
      <c r="B18" s="4">
        <v>9</v>
      </c>
      <c r="C18" s="1" t="s">
        <v>81</v>
      </c>
      <c r="D18" s="2" t="s">
        <v>82</v>
      </c>
      <c r="E18" s="4" t="s">
        <v>72</v>
      </c>
      <c r="F18" s="6">
        <v>0.63660000000000005</v>
      </c>
      <c r="G18" s="7">
        <v>0.40310000000000001</v>
      </c>
      <c r="H18" s="7">
        <v>0.2762</v>
      </c>
      <c r="I18" s="7">
        <v>0.1744</v>
      </c>
      <c r="J18" s="7">
        <v>0.54769999999999996</v>
      </c>
      <c r="K18" s="7">
        <v>3.0099999999999998E-2</v>
      </c>
      <c r="L18" s="7">
        <v>0.10780000000000001</v>
      </c>
      <c r="M18" s="7">
        <v>0.22950000000000001</v>
      </c>
      <c r="N18" s="7">
        <v>3.6700000000000003E-2</v>
      </c>
      <c r="O18" s="6">
        <v>0.28050000000000003</v>
      </c>
    </row>
    <row r="19" spans="1:15" ht="15" customHeight="1" x14ac:dyDescent="0.2">
      <c r="B19" s="4">
        <v>10</v>
      </c>
      <c r="C19" s="1" t="s">
        <v>83</v>
      </c>
      <c r="D19" s="2" t="s">
        <v>84</v>
      </c>
      <c r="E19" s="4" t="s">
        <v>72</v>
      </c>
      <c r="F19" s="6">
        <v>1.1720999999999999</v>
      </c>
      <c r="G19" s="7">
        <v>0.34039999999999998</v>
      </c>
      <c r="H19" s="7">
        <v>1.4875</v>
      </c>
      <c r="I19" s="7">
        <v>0.30559999999999998</v>
      </c>
      <c r="J19" s="7">
        <v>0.48680000000000001</v>
      </c>
      <c r="K19" s="7">
        <v>0.29149999999999998</v>
      </c>
      <c r="L19" s="7">
        <v>0.5151</v>
      </c>
      <c r="M19" s="7">
        <v>0.91469999999999996</v>
      </c>
      <c r="N19" s="7">
        <v>4.6699999999999998E-2</v>
      </c>
      <c r="O19" s="6">
        <v>0.61899999999999999</v>
      </c>
    </row>
    <row r="20" spans="1:15" ht="15" customHeight="1" x14ac:dyDescent="0.2">
      <c r="B20" s="4">
        <v>12</v>
      </c>
      <c r="C20" s="1" t="s">
        <v>85</v>
      </c>
      <c r="D20" s="2" t="s">
        <v>86</v>
      </c>
      <c r="E20" s="4" t="s">
        <v>76</v>
      </c>
      <c r="F20" s="8">
        <v>0.84</v>
      </c>
      <c r="G20" s="9">
        <v>0.48</v>
      </c>
      <c r="H20" s="9">
        <v>1.31</v>
      </c>
      <c r="I20" s="9">
        <v>0.87</v>
      </c>
      <c r="J20" s="9">
        <v>0.63</v>
      </c>
      <c r="K20" s="9">
        <v>3.63</v>
      </c>
      <c r="L20" s="9">
        <v>0.89</v>
      </c>
      <c r="M20" s="9">
        <v>0.42</v>
      </c>
      <c r="N20" s="9">
        <v>0.75</v>
      </c>
      <c r="O20" s="9">
        <v>0.87</v>
      </c>
    </row>
    <row r="21" spans="1:15" ht="15" customHeight="1" x14ac:dyDescent="0.2">
      <c r="B21" s="4">
        <v>13</v>
      </c>
      <c r="C21" s="1" t="s">
        <v>87</v>
      </c>
      <c r="D21" s="2" t="s">
        <v>88</v>
      </c>
      <c r="E21" s="4" t="s">
        <v>89</v>
      </c>
      <c r="F21" s="10">
        <v>127.01</v>
      </c>
      <c r="G21" s="11">
        <v>66.989999999999995</v>
      </c>
      <c r="H21" s="11">
        <v>136.68</v>
      </c>
      <c r="I21" s="11">
        <v>-11.63</v>
      </c>
      <c r="J21" s="11">
        <v>53.27</v>
      </c>
      <c r="K21" s="11">
        <v>8.81</v>
      </c>
      <c r="L21" s="11">
        <v>9.2799999999999994</v>
      </c>
      <c r="M21" s="11">
        <v>10.18</v>
      </c>
      <c r="N21" s="11">
        <v>5.76</v>
      </c>
      <c r="O21" s="10">
        <v>10.6</v>
      </c>
    </row>
    <row r="22" spans="1:15" ht="15" customHeight="1" x14ac:dyDescent="0.2">
      <c r="B22" s="4">
        <v>14</v>
      </c>
      <c r="C22" s="1" t="s">
        <v>90</v>
      </c>
      <c r="D22" s="2" t="s">
        <v>91</v>
      </c>
      <c r="E22" s="4" t="s">
        <v>76</v>
      </c>
      <c r="F22" s="8">
        <v>26</v>
      </c>
      <c r="G22" s="8">
        <v>19.190000000000001</v>
      </c>
      <c r="H22" s="8">
        <v>28.84</v>
      </c>
      <c r="I22" s="8">
        <v>17.02</v>
      </c>
      <c r="J22" s="8">
        <v>23.98</v>
      </c>
      <c r="K22" s="8">
        <v>27.94</v>
      </c>
      <c r="L22" s="8">
        <v>11.73</v>
      </c>
      <c r="M22" s="8">
        <v>15.65</v>
      </c>
      <c r="N22" s="8">
        <v>130.19999999999999</v>
      </c>
      <c r="O22" s="8">
        <v>10.119999999999999</v>
      </c>
    </row>
    <row r="23" spans="1:15" ht="15" customHeight="1" x14ac:dyDescent="0.2">
      <c r="A23" s="1" t="s">
        <v>92</v>
      </c>
    </row>
    <row r="24" spans="1:15" ht="15" customHeight="1" x14ac:dyDescent="0.2">
      <c r="B24" s="4">
        <v>16</v>
      </c>
      <c r="C24" s="1" t="s">
        <v>93</v>
      </c>
      <c r="D24" s="2" t="s">
        <v>94</v>
      </c>
      <c r="E24" s="4" t="s">
        <v>95</v>
      </c>
      <c r="F24" s="8">
        <v>0.17</v>
      </c>
      <c r="G24" s="9">
        <v>0.28999999999999998</v>
      </c>
      <c r="H24" s="9">
        <v>0.78</v>
      </c>
      <c r="I24" s="9">
        <v>0.46</v>
      </c>
      <c r="J24" s="9">
        <v>0.19</v>
      </c>
      <c r="K24" s="9">
        <v>0.25</v>
      </c>
      <c r="L24" s="9">
        <v>2.39</v>
      </c>
      <c r="M24" s="9">
        <v>4.9000000000000004</v>
      </c>
      <c r="N24" s="9">
        <v>0.18</v>
      </c>
      <c r="O24" s="8">
        <v>0.56999999999999995</v>
      </c>
    </row>
    <row r="25" spans="1:15" ht="15" customHeight="1" x14ac:dyDescent="0.2">
      <c r="B25" s="4">
        <v>18</v>
      </c>
      <c r="C25" s="1" t="s">
        <v>96</v>
      </c>
      <c r="D25" s="2" t="s">
        <v>97</v>
      </c>
      <c r="E25" s="4" t="s">
        <v>95</v>
      </c>
      <c r="F25" s="8">
        <v>4.59</v>
      </c>
      <c r="G25" s="9">
        <v>1.23</v>
      </c>
      <c r="H25" s="9">
        <v>1</v>
      </c>
      <c r="I25" s="9">
        <v>1.03</v>
      </c>
      <c r="J25" s="9">
        <v>2.72</v>
      </c>
      <c r="K25" s="9">
        <v>1.07</v>
      </c>
      <c r="L25" s="9">
        <v>0.93</v>
      </c>
      <c r="M25" s="9">
        <v>1.37</v>
      </c>
      <c r="N25" s="9">
        <v>1.94</v>
      </c>
      <c r="O25" s="8">
        <v>0.77</v>
      </c>
    </row>
    <row r="26" spans="1:15" ht="15" customHeight="1" x14ac:dyDescent="0.2">
      <c r="B26" s="4">
        <v>19</v>
      </c>
      <c r="C26" s="1" t="s">
        <v>98</v>
      </c>
      <c r="D26" s="2" t="s">
        <v>99</v>
      </c>
      <c r="E26" s="4" t="s">
        <v>100</v>
      </c>
      <c r="F26" s="12">
        <f t="shared" ref="F26:O26" si="0">1/F15</f>
        <v>3.5587188612099641E-2</v>
      </c>
      <c r="G26" s="12">
        <f t="shared" si="0"/>
        <v>3.635041802980734E-2</v>
      </c>
      <c r="H26" s="12">
        <f t="shared" si="0"/>
        <v>2.5940337224383919E-2</v>
      </c>
      <c r="I26" s="12">
        <f t="shared" si="0"/>
        <v>4.8995590396864283E-2</v>
      </c>
      <c r="J26" s="12">
        <f t="shared" si="0"/>
        <v>5.7012542759407071E-2</v>
      </c>
      <c r="K26" s="12">
        <f t="shared" si="0"/>
        <v>2.2202486678507993E-2</v>
      </c>
      <c r="L26" s="12">
        <f t="shared" si="0"/>
        <v>5.8788947677836559E-2</v>
      </c>
      <c r="M26" s="12">
        <f t="shared" si="0"/>
        <v>4.1718815185648732E-2</v>
      </c>
      <c r="N26" s="12">
        <f t="shared" si="0"/>
        <v>2.9648077322185656E-3</v>
      </c>
      <c r="O26" s="12">
        <f t="shared" si="0"/>
        <v>7.1942446043165464E-2</v>
      </c>
    </row>
    <row r="27" spans="1:15" ht="15" customHeight="1" x14ac:dyDescent="0.2">
      <c r="B27" s="4">
        <v>20</v>
      </c>
      <c r="C27" s="1" t="s">
        <v>101</v>
      </c>
      <c r="D27" s="2" t="s">
        <v>102</v>
      </c>
      <c r="E27" s="4" t="s">
        <v>72</v>
      </c>
      <c r="F27" s="6">
        <v>0.83379999999999999</v>
      </c>
      <c r="G27" s="7">
        <v>0.1779</v>
      </c>
      <c r="H27" s="7">
        <v>0.1424</v>
      </c>
      <c r="I27" s="7">
        <v>0.15770000000000001</v>
      </c>
      <c r="J27" s="7">
        <v>0.20050000000000001</v>
      </c>
      <c r="K27" s="7">
        <v>9.2299999999999993E-2</v>
      </c>
      <c r="L27" s="7">
        <v>5.62E-2</v>
      </c>
      <c r="M27" s="7">
        <v>9.0999999999999998E-2</v>
      </c>
      <c r="N27" s="7">
        <v>0.1176</v>
      </c>
      <c r="O27" s="6">
        <v>0.12</v>
      </c>
    </row>
    <row r="29" spans="1:15" ht="27" customHeight="1" x14ac:dyDescent="0.2">
      <c r="A29" s="2"/>
    </row>
    <row r="30" spans="1:15" ht="27" customHeight="1" x14ac:dyDescent="0.2">
      <c r="A30" s="2"/>
    </row>
    <row r="31" spans="1:15" ht="27" customHeight="1" x14ac:dyDescent="0.2">
      <c r="A31" s="2"/>
    </row>
    <row r="32" spans="1:15" ht="27" customHeight="1" x14ac:dyDescent="0.2">
      <c r="A32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baseColWidth="10" defaultColWidth="8.6640625" defaultRowHeight="15" x14ac:dyDescent="0.2"/>
  <cols>
    <col min="1" max="1" width="14" customWidth="1"/>
    <col min="2" max="2" width="12" customWidth="1"/>
    <col min="3" max="3" width="104" customWidth="1"/>
  </cols>
  <sheetData>
    <row r="1" spans="1:3" ht="15" customHeight="1" x14ac:dyDescent="0.2">
      <c r="A1" s="1" t="s">
        <v>103</v>
      </c>
    </row>
    <row r="3" spans="1:3" ht="42" customHeight="1" x14ac:dyDescent="0.2">
      <c r="A3" s="2" t="s">
        <v>104</v>
      </c>
    </row>
    <row r="5" spans="1:3" ht="42" customHeight="1" x14ac:dyDescent="0.2">
      <c r="A5" s="2" t="s">
        <v>105</v>
      </c>
    </row>
    <row r="6" spans="1:3" ht="42" customHeight="1" x14ac:dyDescent="0.2">
      <c r="A6" s="2" t="s">
        <v>106</v>
      </c>
    </row>
    <row r="8" spans="1:3" ht="15" customHeight="1" x14ac:dyDescent="0.2">
      <c r="A8" s="1" t="s">
        <v>107</v>
      </c>
    </row>
    <row r="9" spans="1:3" ht="55.5" customHeight="1" x14ac:dyDescent="0.2">
      <c r="A9" s="1" t="s">
        <v>108</v>
      </c>
      <c r="C9" s="2" t="s">
        <v>109</v>
      </c>
    </row>
    <row r="10" spans="1:3" ht="55.5" customHeight="1" x14ac:dyDescent="0.2">
      <c r="A10" s="1" t="s">
        <v>110</v>
      </c>
      <c r="C10" s="2" t="s">
        <v>111</v>
      </c>
    </row>
    <row r="11" spans="1:3" ht="55.5" customHeight="1" x14ac:dyDescent="0.2">
      <c r="A11" s="1" t="s">
        <v>112</v>
      </c>
      <c r="C11" s="2" t="s">
        <v>113</v>
      </c>
    </row>
    <row r="12" spans="1:3" ht="55.5" customHeight="1" x14ac:dyDescent="0.2">
      <c r="A12" s="1" t="s">
        <v>114</v>
      </c>
      <c r="C12" s="2" t="s">
        <v>115</v>
      </c>
    </row>
    <row r="13" spans="1:3" ht="55.5" customHeight="1" x14ac:dyDescent="0.2">
      <c r="A13" s="1" t="s">
        <v>116</v>
      </c>
      <c r="C13" s="2" t="s">
        <v>117</v>
      </c>
    </row>
    <row r="15" spans="1:3" ht="15" customHeight="1" x14ac:dyDescent="0.2">
      <c r="A15" s="1" t="s">
        <v>118</v>
      </c>
    </row>
    <row r="16" spans="1:3" ht="15" customHeight="1" x14ac:dyDescent="0.2">
      <c r="A16" s="1" t="s">
        <v>119</v>
      </c>
      <c r="B16" s="1" t="s">
        <v>120</v>
      </c>
      <c r="C16" s="1" t="s">
        <v>121</v>
      </c>
    </row>
    <row r="17" spans="1:3" ht="63.75" customHeight="1" x14ac:dyDescent="0.2">
      <c r="A17" s="1" t="s">
        <v>6</v>
      </c>
      <c r="B17" s="1" t="s">
        <v>122</v>
      </c>
      <c r="C17" s="2" t="s">
        <v>123</v>
      </c>
    </row>
    <row r="18" spans="1:3" ht="63.75" customHeight="1" x14ac:dyDescent="0.2">
      <c r="A18" s="1" t="s">
        <v>7</v>
      </c>
      <c r="B18" s="1" t="s">
        <v>124</v>
      </c>
      <c r="C18" s="2" t="s">
        <v>125</v>
      </c>
    </row>
    <row r="19" spans="1:3" ht="63.75" customHeight="1" x14ac:dyDescent="0.2">
      <c r="A19" s="1" t="s">
        <v>8</v>
      </c>
      <c r="B19" s="1" t="s">
        <v>124</v>
      </c>
      <c r="C19" s="2" t="s">
        <v>126</v>
      </c>
    </row>
    <row r="20" spans="1:3" ht="63.75" customHeight="1" x14ac:dyDescent="0.2">
      <c r="A20" s="1" t="s">
        <v>9</v>
      </c>
      <c r="B20" s="1" t="s">
        <v>127</v>
      </c>
      <c r="C20" s="2" t="s">
        <v>128</v>
      </c>
    </row>
    <row r="21" spans="1:3" ht="63.75" customHeight="1" x14ac:dyDescent="0.2">
      <c r="A21" s="1" t="s">
        <v>10</v>
      </c>
      <c r="B21" s="1" t="s">
        <v>127</v>
      </c>
      <c r="C21" s="2" t="s">
        <v>129</v>
      </c>
    </row>
    <row r="22" spans="1:3" ht="63.75" customHeight="1" x14ac:dyDescent="0.2">
      <c r="A22" s="1" t="s">
        <v>11</v>
      </c>
      <c r="B22" s="1" t="s">
        <v>122</v>
      </c>
      <c r="C22" s="2" t="s">
        <v>130</v>
      </c>
    </row>
    <row r="23" spans="1:3" ht="63.75" customHeight="1" x14ac:dyDescent="0.2">
      <c r="A23" s="1" t="s">
        <v>12</v>
      </c>
      <c r="B23" s="1" t="s">
        <v>131</v>
      </c>
      <c r="C23" s="2" t="s">
        <v>132</v>
      </c>
    </row>
    <row r="24" spans="1:3" ht="63.75" customHeight="1" x14ac:dyDescent="0.2">
      <c r="A24" s="1" t="s">
        <v>13</v>
      </c>
      <c r="B24" s="1" t="s">
        <v>131</v>
      </c>
      <c r="C24" s="2" t="s">
        <v>133</v>
      </c>
    </row>
    <row r="25" spans="1:3" ht="63.75" customHeight="1" x14ac:dyDescent="0.2">
      <c r="A25" s="1" t="s">
        <v>14</v>
      </c>
      <c r="B25" s="1" t="s">
        <v>127</v>
      </c>
      <c r="C25" s="2" t="s">
        <v>134</v>
      </c>
    </row>
    <row r="26" spans="1:3" ht="63.75" customHeight="1" x14ac:dyDescent="0.2">
      <c r="A26" s="1" t="s">
        <v>15</v>
      </c>
      <c r="B26" s="1" t="s">
        <v>131</v>
      </c>
      <c r="C26" s="2" t="s">
        <v>135</v>
      </c>
    </row>
    <row r="28" spans="1:3" ht="55.5" customHeight="1" x14ac:dyDescent="0.2">
      <c r="A28" s="2" t="s">
        <v>136</v>
      </c>
    </row>
    <row r="30" spans="1:3" x14ac:dyDescent="0.2">
      <c r="A30" s="13" t="s">
        <v>137</v>
      </c>
    </row>
    <row r="31" spans="1:3" x14ac:dyDescent="0.2">
      <c r="A31" s="14" t="s">
        <v>138</v>
      </c>
    </row>
    <row r="32" spans="1:3" x14ac:dyDescent="0.2">
      <c r="A32" s="14" t="s">
        <v>139</v>
      </c>
    </row>
    <row r="33" spans="1:1" x14ac:dyDescent="0.2">
      <c r="A33" s="14" t="s">
        <v>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zoomScaleNormal="100" workbookViewId="0">
      <pane ySplit="6" topLeftCell="A7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9" customWidth="1"/>
    <col min="4" max="5" width="22" customWidth="1"/>
    <col min="6" max="6" width="13" customWidth="1"/>
    <col min="7" max="7" width="72" customWidth="1"/>
  </cols>
  <sheetData>
    <row r="1" spans="1:7" ht="15" customHeight="1" x14ac:dyDescent="0.2">
      <c r="A1" s="13" t="s">
        <v>141</v>
      </c>
      <c r="B1" s="14"/>
      <c r="C1" s="14"/>
      <c r="D1" s="14"/>
      <c r="E1" s="14"/>
      <c r="F1" s="14"/>
      <c r="G1" s="15"/>
    </row>
    <row r="2" spans="1:7" ht="15" customHeight="1" x14ac:dyDescent="0.2">
      <c r="A2" s="14"/>
      <c r="B2" s="14"/>
      <c r="C2" s="14"/>
      <c r="D2" s="14"/>
      <c r="E2" s="14"/>
      <c r="F2" s="14"/>
      <c r="G2" s="15"/>
    </row>
    <row r="3" spans="1:7" ht="15" customHeight="1" x14ac:dyDescent="0.2">
      <c r="A3" s="14" t="s">
        <v>142</v>
      </c>
      <c r="B3" s="14"/>
      <c r="C3" s="14"/>
      <c r="D3" s="14"/>
      <c r="E3" s="14"/>
      <c r="F3" s="14"/>
      <c r="G3" s="15"/>
    </row>
    <row r="4" spans="1:7" ht="15" customHeight="1" x14ac:dyDescent="0.2">
      <c r="A4" s="14" t="s">
        <v>143</v>
      </c>
      <c r="B4" s="14"/>
      <c r="C4" s="14"/>
      <c r="D4" s="14"/>
      <c r="E4" s="14"/>
      <c r="F4" s="14"/>
      <c r="G4" s="15"/>
    </row>
    <row r="5" spans="1:7" ht="15" customHeight="1" x14ac:dyDescent="0.2">
      <c r="A5" s="14"/>
      <c r="B5" s="14"/>
      <c r="C5" s="14"/>
      <c r="D5" s="14"/>
      <c r="E5" s="14"/>
      <c r="F5" s="14"/>
      <c r="G5" s="15"/>
    </row>
    <row r="6" spans="1:7" ht="15" customHeight="1" x14ac:dyDescent="0.2">
      <c r="A6" s="13" t="s">
        <v>144</v>
      </c>
      <c r="B6" s="13" t="s">
        <v>145</v>
      </c>
      <c r="C6" s="13" t="s">
        <v>119</v>
      </c>
      <c r="D6" s="13" t="s">
        <v>146</v>
      </c>
      <c r="E6" s="13" t="s">
        <v>147</v>
      </c>
      <c r="F6" s="13" t="s">
        <v>120</v>
      </c>
      <c r="G6" s="16" t="s">
        <v>148</v>
      </c>
    </row>
    <row r="7" spans="1:7" ht="15" customHeight="1" x14ac:dyDescent="0.2">
      <c r="A7" s="14" t="s">
        <v>149</v>
      </c>
      <c r="B7" s="14" t="s">
        <v>150</v>
      </c>
      <c r="C7" s="14" t="s">
        <v>6</v>
      </c>
      <c r="D7" s="14" t="s">
        <v>151</v>
      </c>
      <c r="E7" s="14" t="s">
        <v>47</v>
      </c>
      <c r="F7" s="14" t="s">
        <v>152</v>
      </c>
      <c r="G7" s="15" t="s">
        <v>153</v>
      </c>
    </row>
    <row r="8" spans="1:7" ht="15" customHeight="1" x14ac:dyDescent="0.2">
      <c r="A8" s="14" t="s">
        <v>154</v>
      </c>
      <c r="B8" s="14" t="s">
        <v>150</v>
      </c>
      <c r="C8" s="14" t="s">
        <v>15</v>
      </c>
      <c r="D8" s="14" t="s">
        <v>155</v>
      </c>
      <c r="E8" s="14" t="s">
        <v>55</v>
      </c>
      <c r="F8" s="14" t="s">
        <v>152</v>
      </c>
      <c r="G8" s="15" t="s">
        <v>156</v>
      </c>
    </row>
    <row r="9" spans="1:7" ht="23.25" customHeight="1" x14ac:dyDescent="0.2">
      <c r="A9" s="14" t="s">
        <v>157</v>
      </c>
      <c r="B9" s="14" t="s">
        <v>56</v>
      </c>
      <c r="C9" s="14" t="s">
        <v>6</v>
      </c>
      <c r="D9" s="14" t="s">
        <v>158</v>
      </c>
      <c r="E9" s="14" t="s">
        <v>57</v>
      </c>
      <c r="F9" s="14" t="s">
        <v>159</v>
      </c>
      <c r="G9" s="15" t="s">
        <v>160</v>
      </c>
    </row>
    <row r="10" spans="1:7" ht="23.25" customHeight="1" x14ac:dyDescent="0.2">
      <c r="A10" s="14" t="s">
        <v>161</v>
      </c>
      <c r="B10" s="14" t="s">
        <v>56</v>
      </c>
      <c r="C10" s="14" t="s">
        <v>14</v>
      </c>
      <c r="D10" s="14" t="s">
        <v>58</v>
      </c>
      <c r="E10" s="14" t="s">
        <v>63</v>
      </c>
      <c r="F10" s="14" t="s">
        <v>159</v>
      </c>
      <c r="G10" s="15" t="s">
        <v>162</v>
      </c>
    </row>
    <row r="11" spans="1:7" ht="15" customHeight="1" x14ac:dyDescent="0.2">
      <c r="A11" s="14" t="s">
        <v>163</v>
      </c>
      <c r="B11" s="14" t="s">
        <v>56</v>
      </c>
      <c r="C11" s="14" t="s">
        <v>15</v>
      </c>
      <c r="D11" s="14" t="s">
        <v>164</v>
      </c>
      <c r="E11" s="14" t="s">
        <v>64</v>
      </c>
      <c r="F11" s="14" t="s">
        <v>159</v>
      </c>
      <c r="G11" s="15" t="s">
        <v>165</v>
      </c>
    </row>
    <row r="12" spans="1:7" ht="23.25" customHeight="1" x14ac:dyDescent="0.2">
      <c r="A12" s="14" t="s">
        <v>166</v>
      </c>
      <c r="B12" s="14" t="s">
        <v>56</v>
      </c>
      <c r="C12" s="14" t="s">
        <v>167</v>
      </c>
      <c r="D12" s="14" t="s">
        <v>168</v>
      </c>
      <c r="E12" s="14" t="s">
        <v>168</v>
      </c>
      <c r="F12" s="14" t="s">
        <v>152</v>
      </c>
      <c r="G12" s="15" t="s">
        <v>169</v>
      </c>
    </row>
    <row r="13" spans="1:7" ht="15" customHeight="1" x14ac:dyDescent="0.2">
      <c r="A13" s="14" t="s">
        <v>170</v>
      </c>
      <c r="B13" s="14" t="s">
        <v>56</v>
      </c>
      <c r="C13" s="14" t="s">
        <v>171</v>
      </c>
      <c r="D13" s="14" t="s">
        <v>168</v>
      </c>
      <c r="E13" s="14" t="s">
        <v>168</v>
      </c>
      <c r="F13" s="14" t="s">
        <v>159</v>
      </c>
      <c r="G13" s="15" t="s">
        <v>172</v>
      </c>
    </row>
    <row r="14" spans="1:7" ht="23.25" customHeight="1" x14ac:dyDescent="0.2">
      <c r="A14" s="14" t="s">
        <v>173</v>
      </c>
      <c r="B14" s="14" t="s">
        <v>174</v>
      </c>
      <c r="C14" s="14" t="s">
        <v>175</v>
      </c>
      <c r="D14" s="14" t="s">
        <v>176</v>
      </c>
      <c r="E14" s="14" t="s">
        <v>177</v>
      </c>
      <c r="F14" s="14" t="s">
        <v>152</v>
      </c>
      <c r="G14" s="15" t="s">
        <v>178</v>
      </c>
    </row>
    <row r="15" spans="1:7" ht="15" customHeight="1" x14ac:dyDescent="0.2">
      <c r="A15" s="14"/>
      <c r="B15" s="14" t="s">
        <v>179</v>
      </c>
      <c r="C15" s="14"/>
      <c r="D15" s="14" t="s">
        <v>180</v>
      </c>
      <c r="E15" s="14" t="s">
        <v>181</v>
      </c>
      <c r="F15" s="14" t="s">
        <v>152</v>
      </c>
      <c r="G15" s="15"/>
    </row>
    <row r="16" spans="1:7" ht="15" customHeight="1" x14ac:dyDescent="0.2">
      <c r="A16" s="14"/>
      <c r="B16" s="14" t="s">
        <v>182</v>
      </c>
      <c r="C16" s="14"/>
      <c r="D16" s="14" t="s">
        <v>183</v>
      </c>
      <c r="E16" s="14" t="s">
        <v>184</v>
      </c>
      <c r="F16" s="14" t="s">
        <v>152</v>
      </c>
      <c r="G16" s="15"/>
    </row>
    <row r="17" spans="1:7" ht="15" customHeight="1" x14ac:dyDescent="0.2">
      <c r="A17" s="14"/>
      <c r="B17" s="14" t="s">
        <v>185</v>
      </c>
      <c r="C17" s="14"/>
      <c r="D17" s="14" t="s">
        <v>186</v>
      </c>
      <c r="E17" s="14" t="s">
        <v>187</v>
      </c>
      <c r="F17" s="14" t="s">
        <v>152</v>
      </c>
      <c r="G17" s="15"/>
    </row>
    <row r="18" spans="1:7" ht="15" customHeight="1" x14ac:dyDescent="0.2">
      <c r="A18" s="14"/>
      <c r="B18" s="14" t="s">
        <v>188</v>
      </c>
      <c r="C18" s="14"/>
      <c r="D18" s="14" t="s">
        <v>189</v>
      </c>
      <c r="E18" s="14" t="s">
        <v>190</v>
      </c>
      <c r="F18" s="14" t="s">
        <v>152</v>
      </c>
      <c r="G18" s="15"/>
    </row>
    <row r="19" spans="1:7" ht="15" customHeight="1" x14ac:dyDescent="0.2">
      <c r="A19" s="14"/>
      <c r="B19" s="14" t="s">
        <v>191</v>
      </c>
      <c r="C19" s="14"/>
      <c r="D19" s="14" t="s">
        <v>192</v>
      </c>
      <c r="E19" s="14" t="s">
        <v>193</v>
      </c>
      <c r="F19" s="14" t="s">
        <v>152</v>
      </c>
      <c r="G19" s="15"/>
    </row>
    <row r="20" spans="1:7" ht="15" customHeight="1" x14ac:dyDescent="0.2">
      <c r="A20" s="14"/>
      <c r="B20" s="14" t="s">
        <v>194</v>
      </c>
      <c r="C20" s="14"/>
      <c r="D20" s="14" t="s">
        <v>195</v>
      </c>
      <c r="E20" s="14" t="s">
        <v>196</v>
      </c>
      <c r="F20" s="14" t="s">
        <v>152</v>
      </c>
      <c r="G20" s="15"/>
    </row>
    <row r="21" spans="1:7" ht="15" customHeight="1" x14ac:dyDescent="0.2">
      <c r="A21" s="14"/>
      <c r="B21" s="14" t="s">
        <v>197</v>
      </c>
      <c r="C21" s="14"/>
      <c r="D21" s="14" t="s">
        <v>198</v>
      </c>
      <c r="E21" s="14" t="s">
        <v>199</v>
      </c>
      <c r="F21" s="14" t="s">
        <v>152</v>
      </c>
      <c r="G21" s="15" t="s">
        <v>200</v>
      </c>
    </row>
    <row r="22" spans="1:7" ht="15" customHeight="1" x14ac:dyDescent="0.2">
      <c r="A22" s="14"/>
      <c r="B22" s="14" t="s">
        <v>201</v>
      </c>
      <c r="C22" s="14"/>
      <c r="D22" s="14" t="s">
        <v>202</v>
      </c>
      <c r="E22" s="14" t="s">
        <v>203</v>
      </c>
      <c r="F22" s="14" t="s">
        <v>152</v>
      </c>
      <c r="G22" s="15" t="s">
        <v>204</v>
      </c>
    </row>
    <row r="23" spans="1:7" ht="15" customHeight="1" x14ac:dyDescent="0.2">
      <c r="A23" s="14"/>
      <c r="B23" s="14" t="s">
        <v>205</v>
      </c>
      <c r="C23" s="14"/>
      <c r="D23" s="14" t="s">
        <v>206</v>
      </c>
      <c r="E23" s="14" t="s">
        <v>207</v>
      </c>
      <c r="F23" s="14" t="s">
        <v>152</v>
      </c>
      <c r="G23" s="15" t="s">
        <v>208</v>
      </c>
    </row>
    <row r="24" spans="1:7" ht="15" customHeight="1" x14ac:dyDescent="0.2">
      <c r="A24" s="14"/>
      <c r="B24" s="14" t="s">
        <v>209</v>
      </c>
      <c r="C24" s="14"/>
      <c r="D24" s="14" t="s">
        <v>210</v>
      </c>
      <c r="E24" s="14" t="s">
        <v>211</v>
      </c>
      <c r="F24" s="14" t="s">
        <v>152</v>
      </c>
      <c r="G24" s="15" t="s">
        <v>212</v>
      </c>
    </row>
    <row r="25" spans="1:7" ht="15" customHeight="1" x14ac:dyDescent="0.2">
      <c r="A25" s="14" t="s">
        <v>213</v>
      </c>
      <c r="B25" s="14" t="s">
        <v>67</v>
      </c>
      <c r="C25" s="14" t="s">
        <v>6</v>
      </c>
      <c r="D25" s="14" t="s">
        <v>214</v>
      </c>
      <c r="E25" s="14" t="s">
        <v>215</v>
      </c>
      <c r="F25" s="14" t="s">
        <v>152</v>
      </c>
      <c r="G25" s="15" t="s">
        <v>216</v>
      </c>
    </row>
    <row r="26" spans="1:7" ht="34.5" customHeight="1" x14ac:dyDescent="0.2">
      <c r="A26" s="14" t="s">
        <v>217</v>
      </c>
      <c r="B26" s="14" t="s">
        <v>67</v>
      </c>
      <c r="C26" s="14" t="s">
        <v>15</v>
      </c>
      <c r="D26" s="14" t="s">
        <v>218</v>
      </c>
      <c r="E26" s="14" t="s">
        <v>219</v>
      </c>
      <c r="F26" s="14" t="s">
        <v>152</v>
      </c>
      <c r="G26" s="15" t="s">
        <v>220</v>
      </c>
    </row>
    <row r="27" spans="1:7" ht="15" customHeight="1" x14ac:dyDescent="0.2">
      <c r="A27" s="14" t="s">
        <v>221</v>
      </c>
      <c r="B27" s="14" t="s">
        <v>222</v>
      </c>
      <c r="C27" s="14" t="s">
        <v>6</v>
      </c>
      <c r="D27" s="14" t="s">
        <v>223</v>
      </c>
      <c r="E27" s="14" t="s">
        <v>224</v>
      </c>
      <c r="F27" s="14" t="s">
        <v>152</v>
      </c>
      <c r="G27" s="15" t="s">
        <v>225</v>
      </c>
    </row>
    <row r="28" spans="1:7" ht="15" customHeight="1" x14ac:dyDescent="0.2">
      <c r="A28" s="14" t="s">
        <v>226</v>
      </c>
      <c r="B28" s="14" t="s">
        <v>222</v>
      </c>
      <c r="C28" s="14" t="s">
        <v>15</v>
      </c>
      <c r="D28" s="14" t="s">
        <v>227</v>
      </c>
      <c r="E28" s="14" t="s">
        <v>228</v>
      </c>
      <c r="F28" s="14" t="s">
        <v>152</v>
      </c>
      <c r="G28" s="15" t="s">
        <v>225</v>
      </c>
    </row>
    <row r="29" spans="1:7" ht="23.25" customHeight="1" x14ac:dyDescent="0.2">
      <c r="A29" s="14" t="s">
        <v>229</v>
      </c>
      <c r="B29" s="14" t="s">
        <v>230</v>
      </c>
      <c r="C29" s="14" t="s">
        <v>175</v>
      </c>
      <c r="D29" s="14" t="s">
        <v>231</v>
      </c>
      <c r="E29" s="14" t="s">
        <v>232</v>
      </c>
      <c r="F29" s="14" t="s">
        <v>233</v>
      </c>
      <c r="G29" s="15" t="s">
        <v>234</v>
      </c>
    </row>
    <row r="30" spans="1:7" ht="23.25" customHeight="1" x14ac:dyDescent="0.2">
      <c r="A30" s="14"/>
      <c r="B30" s="14" t="s">
        <v>179</v>
      </c>
      <c r="C30" s="14"/>
      <c r="D30" s="14" t="s">
        <v>235</v>
      </c>
      <c r="E30" s="14" t="s">
        <v>236</v>
      </c>
      <c r="F30" s="14" t="s">
        <v>152</v>
      </c>
      <c r="G30" s="15" t="s">
        <v>237</v>
      </c>
    </row>
    <row r="31" spans="1:7" ht="15" customHeight="1" x14ac:dyDescent="0.2">
      <c r="A31" s="14"/>
      <c r="B31" s="14" t="s">
        <v>182</v>
      </c>
      <c r="C31" s="14"/>
      <c r="D31" s="14" t="s">
        <v>238</v>
      </c>
      <c r="E31" s="14" t="s">
        <v>239</v>
      </c>
      <c r="F31" s="14" t="s">
        <v>152</v>
      </c>
      <c r="G31" s="15" t="s">
        <v>240</v>
      </c>
    </row>
    <row r="32" spans="1:7" ht="15" customHeight="1" x14ac:dyDescent="0.2">
      <c r="A32" s="14"/>
      <c r="B32" s="14" t="s">
        <v>185</v>
      </c>
      <c r="C32" s="14"/>
      <c r="D32" s="14" t="s">
        <v>241</v>
      </c>
      <c r="E32" s="14" t="s">
        <v>242</v>
      </c>
      <c r="F32" s="14" t="s">
        <v>152</v>
      </c>
      <c r="G32" s="15" t="s">
        <v>243</v>
      </c>
    </row>
    <row r="33" spans="1:7" ht="15" customHeight="1" x14ac:dyDescent="0.2">
      <c r="A33" s="14"/>
      <c r="B33" s="14" t="s">
        <v>188</v>
      </c>
      <c r="C33" s="14"/>
      <c r="D33" s="14" t="s">
        <v>244</v>
      </c>
      <c r="E33" s="14" t="s">
        <v>245</v>
      </c>
      <c r="F33" s="14" t="s">
        <v>152</v>
      </c>
      <c r="G33" s="15" t="s">
        <v>246</v>
      </c>
    </row>
    <row r="34" spans="1:7" ht="15" customHeight="1" x14ac:dyDescent="0.2">
      <c r="A34" s="14"/>
      <c r="B34" s="14" t="s">
        <v>191</v>
      </c>
      <c r="C34" s="14"/>
      <c r="D34" s="14" t="s">
        <v>247</v>
      </c>
      <c r="E34" s="14" t="s">
        <v>248</v>
      </c>
      <c r="F34" s="14" t="s">
        <v>152</v>
      </c>
      <c r="G34" s="15" t="s">
        <v>249</v>
      </c>
    </row>
    <row r="35" spans="1:7" ht="15" customHeight="1" x14ac:dyDescent="0.2">
      <c r="A35" s="14"/>
      <c r="B35" s="14" t="s">
        <v>194</v>
      </c>
      <c r="C35" s="14"/>
      <c r="D35" s="14" t="s">
        <v>250</v>
      </c>
      <c r="E35" s="14" t="s">
        <v>251</v>
      </c>
      <c r="F35" s="14" t="s">
        <v>152</v>
      </c>
      <c r="G35" s="15" t="s">
        <v>252</v>
      </c>
    </row>
    <row r="36" spans="1:7" ht="15" customHeight="1" x14ac:dyDescent="0.2">
      <c r="A36" s="14"/>
      <c r="B36" s="14" t="s">
        <v>197</v>
      </c>
      <c r="C36" s="14"/>
      <c r="D36" s="14" t="s">
        <v>253</v>
      </c>
      <c r="E36" s="14" t="s">
        <v>254</v>
      </c>
      <c r="F36" s="14" t="s">
        <v>152</v>
      </c>
      <c r="G36" s="15" t="s">
        <v>255</v>
      </c>
    </row>
    <row r="37" spans="1:7" ht="15" customHeight="1" x14ac:dyDescent="0.2">
      <c r="A37" s="14"/>
      <c r="B37" s="14" t="s">
        <v>201</v>
      </c>
      <c r="C37" s="14"/>
      <c r="D37" s="14" t="s">
        <v>256</v>
      </c>
      <c r="E37" s="14" t="s">
        <v>257</v>
      </c>
      <c r="F37" s="14" t="s">
        <v>152</v>
      </c>
      <c r="G37" s="15" t="s">
        <v>258</v>
      </c>
    </row>
    <row r="38" spans="1:7" ht="23.25" customHeight="1" x14ac:dyDescent="0.2">
      <c r="A38" s="14"/>
      <c r="B38" s="14" t="s">
        <v>205</v>
      </c>
      <c r="C38" s="14"/>
      <c r="D38" s="14" t="s">
        <v>259</v>
      </c>
      <c r="E38" s="14" t="s">
        <v>260</v>
      </c>
      <c r="F38" s="14" t="s">
        <v>152</v>
      </c>
      <c r="G38" s="15" t="s">
        <v>261</v>
      </c>
    </row>
    <row r="39" spans="1:7" ht="15" customHeight="1" x14ac:dyDescent="0.2">
      <c r="A39" s="14"/>
      <c r="B39" s="14" t="s">
        <v>209</v>
      </c>
      <c r="C39" s="14"/>
      <c r="D39" s="14" t="s">
        <v>262</v>
      </c>
      <c r="E39" s="14" t="s">
        <v>263</v>
      </c>
      <c r="F39" s="14" t="s">
        <v>152</v>
      </c>
      <c r="G39" s="15" t="s">
        <v>264</v>
      </c>
    </row>
    <row r="40" spans="1:7" ht="15" customHeight="1" x14ac:dyDescent="0.2">
      <c r="A40" s="14" t="s">
        <v>265</v>
      </c>
      <c r="B40" s="14" t="s">
        <v>77</v>
      </c>
      <c r="C40" s="14" t="s">
        <v>6</v>
      </c>
      <c r="D40" s="14" t="s">
        <v>266</v>
      </c>
      <c r="E40" s="14" t="s">
        <v>267</v>
      </c>
      <c r="F40" s="14" t="s">
        <v>152</v>
      </c>
      <c r="G40" s="15" t="s">
        <v>268</v>
      </c>
    </row>
    <row r="41" spans="1:7" ht="23.25" customHeight="1" x14ac:dyDescent="0.2">
      <c r="A41" s="14" t="s">
        <v>269</v>
      </c>
      <c r="B41" s="14" t="s">
        <v>77</v>
      </c>
      <c r="C41" s="14" t="s">
        <v>15</v>
      </c>
      <c r="D41" s="14" t="s">
        <v>270</v>
      </c>
      <c r="E41" s="14" t="s">
        <v>271</v>
      </c>
      <c r="F41" s="14" t="s">
        <v>272</v>
      </c>
      <c r="G41" s="15" t="s">
        <v>273</v>
      </c>
    </row>
    <row r="42" spans="1:7" ht="15" customHeight="1" x14ac:dyDescent="0.2">
      <c r="A42" s="14" t="s">
        <v>274</v>
      </c>
      <c r="B42" s="14" t="s">
        <v>79</v>
      </c>
      <c r="C42" s="14" t="s">
        <v>6</v>
      </c>
      <c r="D42" s="14" t="s">
        <v>275</v>
      </c>
      <c r="E42" s="14" t="s">
        <v>276</v>
      </c>
      <c r="F42" s="14" t="s">
        <v>152</v>
      </c>
      <c r="G42" s="15" t="s">
        <v>277</v>
      </c>
    </row>
    <row r="43" spans="1:7" ht="15" customHeight="1" x14ac:dyDescent="0.2">
      <c r="A43" s="14" t="s">
        <v>278</v>
      </c>
      <c r="B43" s="14" t="s">
        <v>79</v>
      </c>
      <c r="C43" s="14" t="s">
        <v>15</v>
      </c>
      <c r="D43" s="14" t="s">
        <v>279</v>
      </c>
      <c r="E43" s="14" t="s">
        <v>280</v>
      </c>
      <c r="F43" s="14" t="s">
        <v>152</v>
      </c>
      <c r="G43" s="15" t="s">
        <v>281</v>
      </c>
    </row>
    <row r="44" spans="1:7" ht="15" customHeight="1" x14ac:dyDescent="0.2">
      <c r="A44" s="14" t="s">
        <v>282</v>
      </c>
      <c r="B44" s="14" t="s">
        <v>81</v>
      </c>
      <c r="C44" s="14" t="s">
        <v>6</v>
      </c>
      <c r="D44" s="14" t="s">
        <v>283</v>
      </c>
      <c r="E44" s="14" t="s">
        <v>284</v>
      </c>
      <c r="F44" s="14" t="s">
        <v>152</v>
      </c>
      <c r="G44" s="15" t="s">
        <v>285</v>
      </c>
    </row>
    <row r="45" spans="1:7" ht="15" customHeight="1" x14ac:dyDescent="0.2">
      <c r="A45" s="14" t="s">
        <v>286</v>
      </c>
      <c r="B45" s="14" t="s">
        <v>81</v>
      </c>
      <c r="C45" s="14" t="s">
        <v>15</v>
      </c>
      <c r="D45" s="14" t="s">
        <v>287</v>
      </c>
      <c r="E45" s="14" t="s">
        <v>288</v>
      </c>
      <c r="F45" s="14" t="s">
        <v>152</v>
      </c>
      <c r="G45" s="15" t="s">
        <v>289</v>
      </c>
    </row>
    <row r="46" spans="1:7" ht="15" customHeight="1" x14ac:dyDescent="0.2">
      <c r="A46" s="14" t="s">
        <v>290</v>
      </c>
      <c r="B46" s="14" t="s">
        <v>83</v>
      </c>
      <c r="C46" s="14" t="s">
        <v>6</v>
      </c>
      <c r="D46" s="14" t="s">
        <v>291</v>
      </c>
      <c r="E46" s="14" t="s">
        <v>292</v>
      </c>
      <c r="F46" s="14" t="s">
        <v>152</v>
      </c>
      <c r="G46" s="15" t="s">
        <v>285</v>
      </c>
    </row>
    <row r="47" spans="1:7" ht="15" customHeight="1" x14ac:dyDescent="0.2">
      <c r="A47" s="14" t="s">
        <v>293</v>
      </c>
      <c r="B47" s="14" t="s">
        <v>83</v>
      </c>
      <c r="C47" s="14" t="s">
        <v>15</v>
      </c>
      <c r="D47" s="14" t="s">
        <v>294</v>
      </c>
      <c r="E47" s="14" t="s">
        <v>295</v>
      </c>
      <c r="F47" s="14" t="s">
        <v>152</v>
      </c>
      <c r="G47" s="15" t="s">
        <v>289</v>
      </c>
    </row>
    <row r="48" spans="1:7" ht="34.5" customHeight="1" x14ac:dyDescent="0.2">
      <c r="A48" s="14" t="s">
        <v>296</v>
      </c>
      <c r="B48" s="14" t="s">
        <v>85</v>
      </c>
      <c r="C48" s="14" t="s">
        <v>6</v>
      </c>
      <c r="D48" s="14" t="s">
        <v>297</v>
      </c>
      <c r="E48" s="14" t="s">
        <v>298</v>
      </c>
      <c r="F48" s="14" t="s">
        <v>299</v>
      </c>
      <c r="G48" s="15" t="s">
        <v>300</v>
      </c>
    </row>
    <row r="49" spans="1:7" ht="23.25" customHeight="1" x14ac:dyDescent="0.2">
      <c r="A49" s="14" t="s">
        <v>301</v>
      </c>
      <c r="B49" s="14" t="s">
        <v>85</v>
      </c>
      <c r="C49" s="14" t="s">
        <v>15</v>
      </c>
      <c r="D49" s="14" t="s">
        <v>302</v>
      </c>
      <c r="E49" s="14" t="s">
        <v>303</v>
      </c>
      <c r="F49" s="14" t="s">
        <v>159</v>
      </c>
      <c r="G49" s="15" t="s">
        <v>304</v>
      </c>
    </row>
    <row r="50" spans="1:7" ht="23.25" customHeight="1" x14ac:dyDescent="0.2">
      <c r="A50" s="14" t="s">
        <v>305</v>
      </c>
      <c r="B50" s="14" t="s">
        <v>87</v>
      </c>
      <c r="C50" s="14" t="s">
        <v>6</v>
      </c>
      <c r="D50" s="14" t="s">
        <v>306</v>
      </c>
      <c r="E50" s="14" t="s">
        <v>307</v>
      </c>
      <c r="F50" s="14" t="s">
        <v>152</v>
      </c>
      <c r="G50" s="15" t="s">
        <v>308</v>
      </c>
    </row>
    <row r="51" spans="1:7" ht="23.25" customHeight="1" x14ac:dyDescent="0.2">
      <c r="A51" s="14" t="s">
        <v>309</v>
      </c>
      <c r="B51" s="14" t="s">
        <v>87</v>
      </c>
      <c r="C51" s="14" t="s">
        <v>15</v>
      </c>
      <c r="D51" s="14" t="s">
        <v>310</v>
      </c>
      <c r="E51" s="14" t="s">
        <v>311</v>
      </c>
      <c r="F51" s="14" t="s">
        <v>272</v>
      </c>
      <c r="G51" s="15" t="s">
        <v>312</v>
      </c>
    </row>
    <row r="52" spans="1:7" ht="57" customHeight="1" x14ac:dyDescent="0.2">
      <c r="A52" s="14" t="s">
        <v>313</v>
      </c>
      <c r="B52" s="14" t="s">
        <v>90</v>
      </c>
      <c r="C52" s="14" t="s">
        <v>175</v>
      </c>
      <c r="D52" s="14" t="s">
        <v>314</v>
      </c>
      <c r="E52" s="14" t="s">
        <v>232</v>
      </c>
      <c r="F52" s="14" t="s">
        <v>272</v>
      </c>
      <c r="G52" s="15" t="s">
        <v>315</v>
      </c>
    </row>
    <row r="53" spans="1:7" ht="23.25" customHeight="1" x14ac:dyDescent="0.2">
      <c r="A53" s="14" t="s">
        <v>316</v>
      </c>
      <c r="B53" s="14" t="s">
        <v>93</v>
      </c>
      <c r="C53" s="14" t="s">
        <v>6</v>
      </c>
      <c r="D53" s="14" t="s">
        <v>317</v>
      </c>
      <c r="E53" s="14" t="s">
        <v>318</v>
      </c>
      <c r="F53" s="14" t="s">
        <v>152</v>
      </c>
      <c r="G53" s="15" t="s">
        <v>319</v>
      </c>
    </row>
    <row r="54" spans="1:7" ht="15" customHeight="1" x14ac:dyDescent="0.2">
      <c r="A54" s="14" t="s">
        <v>320</v>
      </c>
      <c r="B54" s="14" t="s">
        <v>93</v>
      </c>
      <c r="C54" s="14" t="s">
        <v>15</v>
      </c>
      <c r="D54" s="14" t="s">
        <v>321</v>
      </c>
      <c r="E54" s="14" t="s">
        <v>322</v>
      </c>
      <c r="F54" s="14" t="s">
        <v>152</v>
      </c>
      <c r="G54" s="15" t="s">
        <v>323</v>
      </c>
    </row>
    <row r="55" spans="1:7" ht="15" customHeight="1" x14ac:dyDescent="0.2">
      <c r="A55" s="14" t="s">
        <v>324</v>
      </c>
      <c r="B55" s="14" t="s">
        <v>96</v>
      </c>
      <c r="C55" s="14" t="s">
        <v>6</v>
      </c>
      <c r="D55" s="14" t="s">
        <v>325</v>
      </c>
      <c r="E55" s="14" t="s">
        <v>326</v>
      </c>
      <c r="F55" s="14" t="s">
        <v>152</v>
      </c>
      <c r="G55" s="15" t="s">
        <v>327</v>
      </c>
    </row>
    <row r="56" spans="1:7" ht="15" customHeight="1" x14ac:dyDescent="0.2">
      <c r="A56" s="14" t="s">
        <v>328</v>
      </c>
      <c r="B56" s="14" t="s">
        <v>96</v>
      </c>
      <c r="C56" s="14" t="s">
        <v>15</v>
      </c>
      <c r="D56" s="14" t="s">
        <v>329</v>
      </c>
      <c r="E56" s="14" t="s">
        <v>330</v>
      </c>
      <c r="F56" s="14" t="s">
        <v>152</v>
      </c>
      <c r="G56" s="15" t="s">
        <v>331</v>
      </c>
    </row>
    <row r="57" spans="1:7" ht="23.25" customHeight="1" x14ac:dyDescent="0.2">
      <c r="A57" s="14" t="s">
        <v>332</v>
      </c>
      <c r="B57" s="14" t="s">
        <v>98</v>
      </c>
      <c r="C57" s="14" t="s">
        <v>175</v>
      </c>
      <c r="D57" s="14" t="s">
        <v>333</v>
      </c>
      <c r="E57" s="14" t="s">
        <v>333</v>
      </c>
      <c r="F57" s="14" t="s">
        <v>152</v>
      </c>
      <c r="G57" s="15" t="s">
        <v>334</v>
      </c>
    </row>
    <row r="58" spans="1:7" ht="15" customHeight="1" x14ac:dyDescent="0.2">
      <c r="A58" s="14" t="s">
        <v>335</v>
      </c>
      <c r="B58" s="14" t="s">
        <v>336</v>
      </c>
      <c r="C58" s="14" t="s">
        <v>6</v>
      </c>
      <c r="D58" s="14" t="s">
        <v>337</v>
      </c>
      <c r="E58" s="14" t="s">
        <v>338</v>
      </c>
      <c r="F58" s="14" t="s">
        <v>152</v>
      </c>
      <c r="G58" s="15" t="s">
        <v>339</v>
      </c>
    </row>
    <row r="59" spans="1:7" ht="15" customHeight="1" x14ac:dyDescent="0.2">
      <c r="A59" s="14" t="s">
        <v>340</v>
      </c>
      <c r="B59" s="14" t="s">
        <v>336</v>
      </c>
      <c r="C59" s="14" t="s">
        <v>15</v>
      </c>
      <c r="D59" s="14" t="s">
        <v>341</v>
      </c>
      <c r="E59" s="14" t="s">
        <v>342</v>
      </c>
      <c r="F59" s="14" t="s">
        <v>152</v>
      </c>
      <c r="G59" s="15" t="s">
        <v>343</v>
      </c>
    </row>
    <row r="60" spans="1:7" ht="15" customHeight="1" x14ac:dyDescent="0.2">
      <c r="A60" s="14"/>
      <c r="B60" s="14"/>
      <c r="C60" s="14"/>
      <c r="D60" s="14"/>
      <c r="E60" s="14"/>
      <c r="F60" s="14"/>
      <c r="G60" s="15"/>
    </row>
    <row r="61" spans="1:7" ht="15" customHeight="1" x14ac:dyDescent="0.2">
      <c r="A61" s="14" t="s">
        <v>344</v>
      </c>
      <c r="B61" s="14"/>
      <c r="C61" s="14"/>
      <c r="D61" s="14"/>
      <c r="E61" s="14"/>
      <c r="F61" s="14"/>
      <c r="G61" s="15"/>
    </row>
    <row r="62" spans="1:7" ht="15" customHeight="1" x14ac:dyDescent="0.2">
      <c r="A62" s="14"/>
      <c r="B62" s="14" t="s">
        <v>345</v>
      </c>
      <c r="C62" s="14"/>
      <c r="D62" s="14"/>
      <c r="E62" s="14"/>
      <c r="F62" s="14"/>
      <c r="G62" s="15"/>
    </row>
    <row r="63" spans="1:7" ht="15" customHeight="1" x14ac:dyDescent="0.2">
      <c r="A63" s="14"/>
      <c r="B63" s="14" t="s">
        <v>346</v>
      </c>
      <c r="C63" s="14"/>
      <c r="D63" s="14"/>
      <c r="E63" s="14"/>
      <c r="F63" s="14"/>
      <c r="G63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Normal="100" workbookViewId="0"/>
  </sheetViews>
  <sheetFormatPr baseColWidth="10" defaultColWidth="8.6640625" defaultRowHeight="15" x14ac:dyDescent="0.2"/>
  <cols>
    <col min="1" max="1" width="24" customWidth="1"/>
    <col min="2" max="2" width="104" customWidth="1"/>
  </cols>
  <sheetData>
    <row r="1" spans="1:2" ht="15" customHeight="1" x14ac:dyDescent="0.2">
      <c r="A1" s="1" t="s">
        <v>347</v>
      </c>
    </row>
    <row r="3" spans="1:2" ht="72" customHeight="1" x14ac:dyDescent="0.2">
      <c r="A3" s="17" t="s">
        <v>348</v>
      </c>
      <c r="B3" s="15" t="s">
        <v>349</v>
      </c>
    </row>
    <row r="4" spans="1:2" ht="72" customHeight="1" x14ac:dyDescent="0.2">
      <c r="A4" s="17" t="s">
        <v>350</v>
      </c>
      <c r="B4" s="15" t="s">
        <v>351</v>
      </c>
    </row>
    <row r="5" spans="1:2" ht="72" customHeight="1" x14ac:dyDescent="0.2">
      <c r="A5" s="17" t="s">
        <v>352</v>
      </c>
      <c r="B5" s="15" t="s">
        <v>353</v>
      </c>
    </row>
    <row r="6" spans="1:2" ht="72" customHeight="1" x14ac:dyDescent="0.2">
      <c r="A6" s="17" t="s">
        <v>354</v>
      </c>
      <c r="B6" s="15" t="s">
        <v>355</v>
      </c>
    </row>
    <row r="7" spans="1:2" ht="72" customHeight="1" x14ac:dyDescent="0.2">
      <c r="A7" s="17" t="s">
        <v>356</v>
      </c>
      <c r="B7" s="15" t="s">
        <v>357</v>
      </c>
    </row>
    <row r="8" spans="1:2" ht="72" customHeight="1" x14ac:dyDescent="0.2">
      <c r="A8" s="17" t="s">
        <v>358</v>
      </c>
      <c r="B8" s="15" t="s">
        <v>359</v>
      </c>
    </row>
    <row r="9" spans="1:2" ht="72" customHeight="1" x14ac:dyDescent="0.2">
      <c r="A9" s="17" t="s">
        <v>98</v>
      </c>
      <c r="B9" s="15" t="s">
        <v>360</v>
      </c>
    </row>
    <row r="10" spans="1:2" ht="72" customHeight="1" x14ac:dyDescent="0.2">
      <c r="A10" s="17" t="s">
        <v>361</v>
      </c>
      <c r="B10" s="15" t="s">
        <v>362</v>
      </c>
    </row>
    <row r="11" spans="1:2" ht="42" x14ac:dyDescent="0.2">
      <c r="A11" s="18" t="s">
        <v>363</v>
      </c>
      <c r="B11" s="15" t="s">
        <v>364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Audit &amp; Flags</vt:lpstr>
      <vt:lpstr>Change Log</vt:lpstr>
      <vt:lpstr>Sources &amp;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Jeong, Inyong Ian (School SA)</cp:lastModifiedBy>
  <cp:revision>0</cp:revision>
  <dcterms:created xsi:type="dcterms:W3CDTF">2026-08-10T07:28:17Z</dcterms:created>
  <dcterms:modified xsi:type="dcterms:W3CDTF">2026-09-30T03:31:34Z</dcterms:modified>
  <dc:language>en-US</dc:language>
</cp:coreProperties>
</file>